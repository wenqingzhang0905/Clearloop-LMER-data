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WenqingZhang\Box\12. Clearloop\Product &amp; Analytics\01 Clearloop Standard and Methodology\TCR research\"/>
    </mc:Choice>
  </mc:AlternateContent>
  <xr:revisionPtr revIDLastSave="138" documentId="13_ncr:1_{B94E3565-65A8-42EA-AD57-E14255CAFA4A}" xr6:coauthVersionLast="47" xr6:coauthVersionMax="47" xr10:uidLastSave="{F2FB50F7-9A06-41D6-83B4-6CCF8340D91B}"/>
  <bookViews>
    <workbookView xWindow="-120" yWindow="-120" windowWidth="51840" windowHeight="21120" firstSheet="4" activeTab="2" xr2:uid="{00000000-000D-0000-FFFF-FFFF00000000}"/>
  </bookViews>
  <sheets>
    <sheet name="Bear Creek (Alabama Power)" sheetId="8" r:id="rId1"/>
    <sheet name="Jackson (TVA)" sheetId="7" r:id="rId2"/>
    <sheet name="Arcadia (Entregy)" sheetId="3" r:id="rId3"/>
    <sheet name="TCR source data--&gt;" sheetId="4" r:id="rId4"/>
    <sheet name="Avg PV LMER" sheetId="9" r:id="rId5"/>
    <sheet name="PV LMER Metric" sheetId="2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______wrn1" hidden="1">{"schedule1",#N/A,FALSE,"Sheet1";"schedule2",#N/A,FALSE,"Sheet1";"schedule3",#N/A,FALSE,"Sheet1";"schedule4",#N/A,FALSE,"Sheet1";"schedule5",#N/A,FALSE,"Sheet1";"schedule6",#N/A,FALSE,"Sheet1"}</definedName>
    <definedName name="______old2" hidden="1">{#N/A,#N/A,FALSE,"Summary";#N/A,#N/A,FALSE,"Buckets";#N/A,#N/A,FALSE,"Northstar";#N/A,#N/A,FALSE,"Comp"}</definedName>
    <definedName name="______old3" hidden="1">{#N/A,#N/A,FALSE,"Emmes Services";#N/A,#N/A,FALSE,"Emmes Capital";#N/A,#N/A,FALSE,"Emmes &amp; Co"}</definedName>
    <definedName name="______old4" hidden="1">{#N/A,#N/A,FALSE,"Summary";#N/A,#N/A,FALSE,"Buckets";#N/A,#N/A,FALSE,"Northstar";#N/A,#N/A,FALSE,"Comp"}</definedName>
    <definedName name="______old5" hidden="1">{#N/A,#N/A,FALSE,"Emmes Services";#N/A,#N/A,FALSE,"Emmes Capital";#N/A,#N/A,FALSE,"Emmes &amp; Co"}</definedName>
    <definedName name="______old6" hidden="1">{#N/A,#N/A,FALSE,"Summary";#N/A,#N/A,FALSE,"Buckets";#N/A,#N/A,FALSE,"Northstar";#N/A,#N/A,FALSE,"Comp"}</definedName>
    <definedName name="______wrn1" hidden="1">{"schedule1",#N/A,FALSE,"Sheet1";"schedule2",#N/A,FALSE,"Sheet1";"schedule3",#N/A,FALSE,"Sheet1";"schedule4",#N/A,FALSE,"Sheet1";"schedule5",#N/A,FALSE,"Sheet1";"schedule6",#N/A,FALSE,"Sheet1"}</definedName>
    <definedName name="____a1" hidden="1">{"Assump",#N/A,TRUE,"Proforma";"first",#N/A,TRUE,"Proforma";"second",#N/A,TRUE,"Proforma";"lease1",#N/A,TRUE,"Proforma";"lease2",#N/A,TRUE,"Proforma"}</definedName>
    <definedName name="____jo2" hidden="1">{#N/A,#N/A,FALSE,"DCF-COM";#N/A,#N/A,FALSE,"VAC-COM"}</definedName>
    <definedName name="____jo3" hidden="1">{"CASHFLOW",#N/A,FALSE,"Northpointe"}</definedName>
    <definedName name="____jo4" hidden="1">{#N/A,#N/A,FALSE,"SHEET1";#N/A,#N/A,FALSE,"SHEET2";#N/A,#N/A,FALSE,"SHEET3";#N/A,#N/A,FALSE,"SHEET4"}</definedName>
    <definedName name="____wrn1" hidden="1">{"schedule1",#N/A,FALSE,"Sheet1";"schedule2",#N/A,FALSE,"Sheet1";"schedule3",#N/A,FALSE,"Sheet1";"schedule4",#N/A,FALSE,"Sheet1";"schedule5",#N/A,FALSE,"Sheet1";"schedule6",#N/A,FALSE,"Sheet1"}</definedName>
    <definedName name="___a1" hidden="1">{"Assump",#N/A,TRUE,"Proforma";"first",#N/A,TRUE,"Proforma";"second",#N/A,TRUE,"Proforma";"lease1",#N/A,TRUE,"Proforma";"lease2",#N/A,TRUE,"Proforma"}</definedName>
    <definedName name="___del1" hidden="1">{"Page1",#N/A,FALSE,"7979";"Page2",#N/A,FALSE,"7979";"Page3",#N/A,FALSE,"7979"}</definedName>
    <definedName name="___jo2" hidden="1">{#N/A,#N/A,FALSE,"DCF-COM";#N/A,#N/A,FALSE,"VAC-COM"}</definedName>
    <definedName name="___jo3" hidden="1">{"CASHFLOW",#N/A,FALSE,"Northpointe"}</definedName>
    <definedName name="___jo4" hidden="1">{#N/A,#N/A,FALSE,"SHEET1";#N/A,#N/A,FALSE,"SHEET2";#N/A,#N/A,FALSE,"SHEET3";#N/A,#N/A,FALSE,"SHEET4"}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123Graph_A" hidden="1">[1]Depreciation!#REF!</definedName>
    <definedName name="__123Graph_AANNUAL" hidden="1">[2]Btus!#REF!</definedName>
    <definedName name="__123Graph_AAVERAGE" hidden="1">[3]Recap!$F$6:$F$19</definedName>
    <definedName name="__123Graph_AGRAPH2" hidden="1">[4]Menu!#REF!</definedName>
    <definedName name="__123Graph_ALEASED" hidden="1">[3]Recap!$H$6:$H$19</definedName>
    <definedName name="__123Graph_AOIL2" hidden="1">'[5]Oil #2'!$D$8:$D$19</definedName>
    <definedName name="__123Graph_AOIL4" hidden="1">'[5]Oil #4'!$D$8:$D$19</definedName>
    <definedName name="__123Graph_APIE" hidden="1">[2]Btus!#REF!</definedName>
    <definedName name="__123Graph_ASQFT" hidden="1">[3]Recap!$I$6:$I$19</definedName>
    <definedName name="__123Graph_AUNIT" hidden="1">[3]Recap!$J$6:$J$19</definedName>
    <definedName name="__123Graph_AUSAGE" hidden="1">[2]Btus!#REF!</definedName>
    <definedName name="__123Graph_B" hidden="1">[1]Depreciation!#REF!</definedName>
    <definedName name="__123Graph_BANNUAL" hidden="1">[2]Btus!#REF!</definedName>
    <definedName name="__123Graph_C" hidden="1">[1]Depreciation!#REF!</definedName>
    <definedName name="__123Graph_CANNUAL" hidden="1">[2]Btus!#REF!</definedName>
    <definedName name="__123Graph_COPGRAPH" hidden="1">#REF!</definedName>
    <definedName name="__123Graph_CPIE" hidden="1">[5]Btus!$Q$4:$Q$7</definedName>
    <definedName name="__123Graph_CUSEPIE" hidden="1">[5]Btus!$Q$4:$Q$7</definedName>
    <definedName name="__123Graph_D" hidden="1">[1]Depreciation!#REF!</definedName>
    <definedName name="__123Graph_DANNUAL" hidden="1">[2]Btus!#REF!</definedName>
    <definedName name="__123Graph_DOPGRAPH" hidden="1">#REF!</definedName>
    <definedName name="__123Graph_DPVOPGRAPH" hidden="1">#REF!</definedName>
    <definedName name="__123Graph_DVARFIXGRAPH" hidden="1">#REF!</definedName>
    <definedName name="__123Graph_E" hidden="1">[1]Depreciation!#REF!</definedName>
    <definedName name="__123Graph_ECAPGRAPH" hidden="1">#REF!</definedName>
    <definedName name="__123Graph_EDEBTPRICE" hidden="1">#REF!</definedName>
    <definedName name="__123Graph_EFUELPRICE" hidden="1">#REF!</definedName>
    <definedName name="__123Graph_EOPGRAPH" hidden="1">#REF!</definedName>
    <definedName name="__123Graph_EPVOPGRAPH" hidden="1">#REF!</definedName>
    <definedName name="__123Graph_EVARFIXGRAPH" hidden="1">#REF!</definedName>
    <definedName name="__123Graph_F" hidden="1">[1]Depreciation!#REF!</definedName>
    <definedName name="__123Graph_FCAPGRAPH" hidden="1">#REF!</definedName>
    <definedName name="__123Graph_FDEBTPRICE" hidden="1">#REF!</definedName>
    <definedName name="__123Graph_FFUELPRICE" hidden="1">#REF!</definedName>
    <definedName name="__123Graph_FOPGRAPH" hidden="1">#REF!</definedName>
    <definedName name="__123Graph_FPVOPGRAPH" hidden="1">#REF!</definedName>
    <definedName name="__123Graph_FVARFIXGRAPH" hidden="1">#REF!</definedName>
    <definedName name="__123Graph_LBL_A" hidden="1">[3]Recap!$A$6:$A$19</definedName>
    <definedName name="__123Graph_LBL_AAVERAGE" hidden="1">[3]Recap!$A$6:$A$19</definedName>
    <definedName name="__123Graph_LBL_ALEASED" hidden="1">[3]Recap!$A$6:$A$19</definedName>
    <definedName name="__123Graph_LBL_ASQFT" hidden="1">[3]Recap!$A$6:$A$19</definedName>
    <definedName name="__123Graph_LBL_AUNIT" hidden="1">[3]Recap!$A$6:$A$19</definedName>
    <definedName name="__123Graph_X" hidden="1">[6]Sheet3!#REF!</definedName>
    <definedName name="__123Graph_XANNUAL" hidden="1">[5]Btus!$B$76:$B$87</definedName>
    <definedName name="__123Graph_XOIL2" hidden="1">[5]Gas!$B$8:$B$19</definedName>
    <definedName name="__123Graph_XOIL4" hidden="1">[5]Gas!$B$8:$B$19</definedName>
    <definedName name="__123Graph_XOPGRAPH" hidden="1">[7]Assumptions!#REF!</definedName>
    <definedName name="__123Graph_XPVOPGRAPH" hidden="1">[7]Assumptions!#REF!</definedName>
    <definedName name="__a1" hidden="1">{"Assump",#N/A,TRUE,"Proforma";"first",#N/A,TRUE,"Proforma";"second",#N/A,TRUE,"Proforma";"lease1",#N/A,TRUE,"Proforma";"lease2",#N/A,TRUE,"Proforma"}</definedName>
    <definedName name="__del1" hidden="1">{"Page1",#N/A,FALSE,"7979";"Page2",#N/A,FALSE,"7979";"Page3",#N/A,FALSE,"7979"}</definedName>
    <definedName name="__FDS_HYPERLINK_TOGGLE_STATE__" hidden="1">"ON"</definedName>
    <definedName name="__IntlFixup" hidden="1">TRUE</definedName>
    <definedName name="__jo2" hidden="1">{#N/A,#N/A,FALSE,"DCF-COM";#N/A,#N/A,FALSE,"VAC-COM"}</definedName>
    <definedName name="__jo3" hidden="1">{"CASHFLOW",#N/A,FALSE,"Northpointe"}</definedName>
    <definedName name="__jo4" hidden="1">{#N/A,#N/A,FALSE,"SHEET1";#N/A,#N/A,FALSE,"SHEET2";#N/A,#N/A,FALSE,"SHEET3";#N/A,#N/A,FALSE,"SHEET4"}</definedName>
    <definedName name="__xlfn.BAHTTEXT" hidden="1">#NAME?</definedName>
    <definedName name="_1__123Graph_ACHART_1" hidden="1">'[8]HIOS 93 thru 96'!$H$76:$K$76</definedName>
    <definedName name="_1__123Graph_ACHART_2" hidden="1">[9]tables_graphs!$H$12:$H$22</definedName>
    <definedName name="_1__123Graph_ACHART_3" hidden="1">[10]Expiration!$P$6:$P$21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0__123Graph_BCHART_2" hidden="1">[11]tables_graphs!$K$12:$K$22</definedName>
    <definedName name="_10__123Graph_COP75_25PRICE" hidden="1">'[8]#REF'!$D$30:$D$30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1__123Graph_COP75_25RETURN" hidden="1">'[8]#REF'!$D$30:$D$30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DHO_MPRICE" hidden="1">'[8]#REF'!$E$30:$E$30</definedName>
    <definedName name="_12__123Graph_XCHART_2" hidden="1">[11]tables_graphs!$G$12:$G$22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3Graph_A" hidden="1">[11]tables_graphs!$H$12:$H$22</definedName>
    <definedName name="_123Graph_B2" hidden="1">[11]tables_graphs!$K$12:$K$22</definedName>
    <definedName name="_123Graph_c3" hidden="1">[11]tables_graphs!$L$12:$L$22</definedName>
    <definedName name="_13__123Graph_DO_MPRICE" hidden="1">'[8]#REF'!$E$30:$E$30</definedName>
    <definedName name="_14__123Graph_DOP75_25PRICE" hidden="1">'[8]#REF'!$E$30:$E$30</definedName>
    <definedName name="_15__123Graph_CCHART_2" hidden="1">[11]tables_graphs!$L$12:$L$22</definedName>
    <definedName name="_15__123Graph_DOP75_25RETURN" hidden="1">'[8]#REF'!$E$30:$E$30</definedName>
    <definedName name="_16__123Graph_EHO_MPRICE" hidden="1">'[8]#REF'!$F$30:$F$30</definedName>
    <definedName name="_17__123Graph_EO_MPRICE" hidden="1">'[8]#REF'!$F$30:$F$30</definedName>
    <definedName name="_17_0_0_F" hidden="1">'[12]1999 BUDGET'!#REF!</definedName>
    <definedName name="_18__123Graph_EOP75_25PRICE" hidden="1">'[8]#REF'!$F$30:$F$30</definedName>
    <definedName name="_18_0_0_F" hidden="1">'[12]1999 BUDGET'!#REF!</definedName>
    <definedName name="_19__123Graph_EOP75_25RETURN" hidden="1">'[8]#REF'!$F$30:$F$30</definedName>
    <definedName name="_2__123Graph_ACHART_2" hidden="1">[11]tables_graphs!$H$12:$H$22</definedName>
    <definedName name="_2__123Graph_ACHART_4" hidden="1">[10]Expiration!$X$22:$AG$22</definedName>
    <definedName name="_2__123Graph_AOP75_25PRICE" hidden="1">[8]Assumptions!#REF!</definedName>
    <definedName name="_2__123Graph_BCHART_2" hidden="1">[9]tables_graphs!$K$12:$K$22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0__123Graph_FHO_MPRICE" hidden="1">'[8]#REF'!$G$30:$G$30</definedName>
    <definedName name="_20__123Graph_XCHART_2" hidden="1">[11]tables_graphs!$G$12:$G$22</definedName>
    <definedName name="_21__123Graph_FO_MPRICE" hidden="1">'[8]#REF'!$G$30:$G$30</definedName>
    <definedName name="_22__123Graph_FOP75_25PRICE" hidden="1">'[8]#REF'!$G$30:$G$30</definedName>
    <definedName name="_23__123Graph_FOP75_25RETURN" hidden="1">'[8]#REF'!$G$30:$G$30</definedName>
    <definedName name="_24__123Graph_XCHART_1" hidden="1">'[8]HIOS 93 thru 96'!$H$3:$K$3</definedName>
    <definedName name="_25__123Graph_XOP75_25PRICE" hidden="1">[8]Assumptions!#REF!</definedName>
    <definedName name="_26__123Graph_XOP75_25RETURN" hidden="1">[8]Assumptions!#REF!</definedName>
    <definedName name="_3__123Graph_ACHART_2" hidden="1">[11]tables_graphs!$H$12:$H$22</definedName>
    <definedName name="_3__123Graph_ACHART_5" hidden="1">[10]Expiration!$C$139:$C$143</definedName>
    <definedName name="_3__123Graph_AOP75_25RETURN" hidden="1">[8]Assumptions!#REF!</definedName>
    <definedName name="_3__123Graph_CCHART_2" hidden="1">[9]tables_graphs!$L$12:$L$22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4__123Graph_ACHART_6" hidden="1">[10]Expiration!$F$139:$F$143</definedName>
    <definedName name="_4__123Graph_BCHART_1" hidden="1">'[8]HIOS 93 thru 96'!$H$87:$K$87</definedName>
    <definedName name="_4__123Graph_BCHART_2" hidden="1">[11]tables_graphs!$K$12:$K$22</definedName>
    <definedName name="_4__123Graph_XCHART_2" hidden="1">[9]tables_graphs!$G$12:$G$22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5__123Graph_ACHART_2" hidden="1">[11]tables_graphs!$H$12:$H$22</definedName>
    <definedName name="_5__123Graph_BCHART_3" hidden="1">[10]Expiration!$Q$6:$Q$21</definedName>
    <definedName name="_5__123Graph_BOP75_25PRICE" hidden="1">'[8]#REF'!$C$30:$C$30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6__123Graph_BCHART_2" hidden="1">[11]tables_graphs!$K$12:$K$22</definedName>
    <definedName name="_6__123Graph_BOP75_25RETURN" hidden="1">'[8]#REF'!$C$30:$C$30</definedName>
    <definedName name="_6__123Graph_CCHART_2" hidden="1">[11]tables_graphs!$L$12:$L$22</definedName>
    <definedName name="_6__123Graph_XCHART_4" hidden="1">[10]Expiration!$X$5:$AG$5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7__123Graph_CCHART_1" hidden="1">'[8]HIOS 93 thru 96'!$H$112:$K$112</definedName>
    <definedName name="_7__123Graph_XCHART_5" hidden="1">[10]Expiration!$B$139:$B$143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8__123Graph_CHO_MPRICE" hidden="1">'[8]#REF'!$D$30:$D$30</definedName>
    <definedName name="_8__123Graph_XCHART_2" hidden="1">[11]tables_graphs!$G$12:$G$22</definedName>
    <definedName name="_8__123Graph_XCHART_6" hidden="1">[10]Expiration!$E$139:$E$143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8_0_S" hidden="1">'[12]1999 BUDGET'!#REF!</definedName>
    <definedName name="_9__123Graph_CCHART_2" hidden="1">[11]tables_graphs!$L$12:$L$22</definedName>
    <definedName name="_9__123Graph_CO_MPRICE" hidden="1">'[8]#REF'!$D$30:$D$30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9_0_S" hidden="1">'[12]1999 BUDGET'!#REF!</definedName>
    <definedName name="_a1" hidden="1">{"Assump",#N/A,TRUE,"Proforma";"first",#N/A,TRUE,"Proforma";"second",#N/A,TRUE,"Proforma";"lease1",#N/A,TRUE,"Proforma";"lease2",#N/A,TRUE,"Proforma"}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0da138ddbfe145d197e55517008badbc.edm" hidden="1">#REF!</definedName>
    <definedName name="_bdm.2270121F1A8B48B5BF06BB7B22222FBB.edm" hidden="1">#REF!</definedName>
    <definedName name="_bdm.28ce8a251e3c4c85945a3ef2f39cec2d.edm" hidden="1">#REF!</definedName>
    <definedName name="_bdm.51a956e2db5545408a29d5020859de7d.edm" hidden="1">#REF!</definedName>
    <definedName name="_bdm.69895dc9de304f2dacdbecfb719e5ce9.edm" hidden="1">#REF!</definedName>
    <definedName name="_bdm.7424a1bcccf6449591c954bf892aea6d.edm" hidden="1">#REF!</definedName>
    <definedName name="_bdm.a86eccee1fc6404d8325b658d02c2358.edm" hidden="1">#REF!</definedName>
    <definedName name="_bdm.a994d6c880794fa18ceb593334f94f26.edm" hidden="1">#REF!</definedName>
    <definedName name="_bdm.cff4ea13d319428daa61b17033a9d664.edm" hidden="1">#REF!</definedName>
    <definedName name="_bdm.d2459160c1ff481da9f5148f48c05b6f.edm" hidden="1">#REF!</definedName>
    <definedName name="_bdm.f25961f6646c4954ae70546aefbc789d.edm" hidden="1">#REF!</definedName>
    <definedName name="_bdm.fd3c410cb4c14e05979e56289cd84351.edm" hidden="1">#REF!</definedName>
    <definedName name="_del1" hidden="1">{"Page1",#N/A,FALSE,"7979";"Page2",#N/A,FALSE,"7979";"Page3",#N/A,FALSE,"7979"}</definedName>
    <definedName name="_Expenses" hidden="1">'[13]Home Sales'!#REF!</definedName>
    <definedName name="_Fil1" hidden="1">'[14]Current 9-02'!$A$6:$A$166</definedName>
    <definedName name="_Fill" hidden="1">#REF!</definedName>
    <definedName name="_xlnm._FilterDatabase" hidden="1">[15]Laundry:Admin!$T$6:$T$77</definedName>
    <definedName name="_jo2" hidden="1">{#N/A,#N/A,FALSE,"DCF-COM";#N/A,#N/A,FALSE,"VAC-COM"}</definedName>
    <definedName name="_jo3" hidden="1">{"CASHFLOW",#N/A,FALSE,"Northpointe"}</definedName>
    <definedName name="_jo4" hidden="1">{#N/A,#N/A,FALSE,"SHEET1";#N/A,#N/A,FALSE,"SHEET2";#N/A,#N/A,FALSE,"SHEET3";#N/A,#N/A,FALSE,"SHEET4"}</definedName>
    <definedName name="_Key1" hidden="1">#REF!</definedName>
    <definedName name="_Key2" hidden="1">#REF!</definedName>
    <definedName name="_Key5" hidden="1">#REF!</definedName>
    <definedName name="_Key6" hidden="1">#REF!</definedName>
    <definedName name="_Key8" hidden="1">#REF!</definedName>
    <definedName name="_Key9" hidden="1">'[14]Current 9-02'!#REF!</definedName>
    <definedName name="_L2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_l9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_old2" hidden="1">{#N/A,#N/A,FALSE,"Summary";#N/A,#N/A,FALSE,"Buckets";#N/A,#N/A,FALSE,"Northstar";#N/A,#N/A,FALSE,"Comp"}</definedName>
    <definedName name="_old3" hidden="1">{#N/A,#N/A,FALSE,"Emmes Services";#N/A,#N/A,FALSE,"Emmes Capital";#N/A,#N/A,FALSE,"Emmes &amp; Co"}</definedName>
    <definedName name="_old4" hidden="1">{#N/A,#N/A,FALSE,"Summary";#N/A,#N/A,FALSE,"Buckets";#N/A,#N/A,FALSE,"Northstar";#N/A,#N/A,FALSE,"Comp"}</definedName>
    <definedName name="_old5" hidden="1">{#N/A,#N/A,FALSE,"Emmes Services";#N/A,#N/A,FALSE,"Emmes Capital";#N/A,#N/A,FALSE,"Emmes &amp; Co"}</definedName>
    <definedName name="_old6" hidden="1">{#N/A,#N/A,FALSE,"Summary";#N/A,#N/A,FALSE,"Buckets";#N/A,#N/A,FALSE,"Northstar";#N/A,#N/A,FALSE,"Comp"}</definedName>
    <definedName name="_Order1" hidden="1">255</definedName>
    <definedName name="_Order2" hidden="1">255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_Sort" hidden="1">#REF!</definedName>
    <definedName name="_Table1_In1" hidden="1">#REF!</definedName>
    <definedName name="_Table1_Out" hidden="1">#REF!</definedName>
    <definedName name="_Table2_In1" hidden="1">[16]Inputs!$P$17:$P$17</definedName>
    <definedName name="_Table2_In2" hidden="1">#REF!</definedName>
    <definedName name="_Table2_Out" hidden="1">#REF!</definedName>
    <definedName name="_Table3_In2" hidden="1">[16]Inputs!$P$12:$P$12</definedName>
    <definedName name="_wmp1" hidden="1">{#N/A,#N/A,FALSE,"ENVIRONMENTAL"}</definedName>
    <definedName name="_wpm1" hidden="1">{#N/A,#N/A,FALSE,"LOAN ANALYSIS"}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a1a1" hidden="1">{"Assump",#N/A,TRUE,"Proforma";"first",#N/A,TRUE,"Proforma";"second",#N/A,TRUE,"Proforma";"lease1",#N/A,TRUE,"Proforma";"lease2",#N/A,TRUE,"Proforma"}</definedName>
    <definedName name="aa" hidden="1">{"AnnualRentRoll",#N/A,FALSE,"RentRoll"}</definedName>
    <definedName name="aaa" hidden="1">{"AnnualRentRoll",#N/A,FALSE,"RentRoll"}</definedName>
    <definedName name="AAA_DOCTOPS" hidden="1">"AAA_SET"</definedName>
    <definedName name="AAA_duser" hidden="1">"OFF"</definedName>
    <definedName name="aaaaa" hidden="1">{"Assump",#N/A,TRUE,"Proforma";"first",#N/A,TRUE,"Proforma";"second",#N/A,TRUE,"Proforma";"lease1",#N/A,TRUE,"Proforma";"lease2",#N/A,TRUE,"Proforma"}</definedName>
    <definedName name="aaaaaaa" hidden="1">{"Outflow 1",#N/A,FALSE,"Outflows-Inflows";"Outflow 2",#N/A,FALSE,"Outflows-Inflows";"Inflow 1",#N/A,FALSE,"Outflows-Inflows";"Inflow 2",#N/A,FALSE,"Outflows-Inflows"}</definedName>
    <definedName name="aaaaaaa1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sdfa" hidden="1">{"rtn",#N/A,FALSE,"RTN";"tables",#N/A,FALSE,"RTN";"cf",#N/A,FALSE,"CF";"stats",#N/A,FALSE,"Stats";"prop",#N/A,FALSE,"Prop"}</definedName>
    <definedName name="abc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Access_Button" hidden="1">"Loan_Front_End_Input_List"</definedName>
    <definedName name="AccessDatabase" hidden="1">"K:\UEG_Mep\Analysis &amp; Structuring\Year 2002 Projects\Model Standardization\Crossroads\Valuation Model\Base Model\08.29.02 Project Crossroads Valuation_Base temp.mdb"</definedName>
    <definedName name="ACwvu.All." hidden="1">#REF!</definedName>
    <definedName name="ACwvu.CAM._.RATES." hidden="1">'[17]Min Rent'!#REF!</definedName>
    <definedName name="ACwvu.CAM._.RECOVERIES." hidden="1">'[18]SCHEDULE B+C'!$BV$162</definedName>
    <definedName name="ACwvu.CAM._.RECOVERY." hidden="1">#REF!</definedName>
    <definedName name="ACwvu.CAM._.TABLE." hidden="1">'[18]SCHEDULE B+C'!$BW$210</definedName>
    <definedName name="ACwvu.INSURANCE._.RECOVERIES." hidden="1">'[18]SCHEDULE B+C'!$CY$159</definedName>
    <definedName name="ACwvu.LSMEET." hidden="1">#REF!</definedName>
    <definedName name="ACwvu.MARKETING._.REVENUE." hidden="1">#REF!</definedName>
    <definedName name="ACwvu.MINIMUM._.RENT." hidden="1">#REF!</definedName>
    <definedName name="ACwvu.OCCUPANCY." hidden="1">#REF!</definedName>
    <definedName name="ACwvu.OCCUPANCY._.ANALYSIS." hidden="1">'[18]SCHEDULE B+C'!$BI$168</definedName>
    <definedName name="ACwvu.PERCENTAGE._.RENT." hidden="1">#REF!</definedName>
    <definedName name="ACwvu.TAX._.RATES." hidden="1">'[17]Min Rent'!#REF!</definedName>
    <definedName name="ACwvu.TAX._.RECOVERIES." hidden="1">'[18]SCHEDULE B+C'!$CK$167</definedName>
    <definedName name="ACwvu.TAX._.RECOVERY." hidden="1">#REF!</definedName>
    <definedName name="ACwvu.WAT." hidden="1">#REF!</definedName>
    <definedName name="ad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ADASF" hidden="1">#REF!</definedName>
    <definedName name="adf" hidden="1">{#N/A,#N/A,FALSE,"SCHEDULE G"}</definedName>
    <definedName name="adfa" hidden="1">{"cap_structure",#N/A,FALSE,"Graph-Mkt Cap";"price",#N/A,FALSE,"Graph-Price";"ebit",#N/A,FALSE,"Graph-EBITDA";"ebitda",#N/A,FALSE,"Graph-EBITDA"}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f" hidden="1">{#N/A,#N/A,FALSE,"TocSE";#N/A,#N/A,FALSE,"GENINFORE";#N/A,#N/A,FALSE,"CAPITAL";#N/A,#N/A,FALSE,"finsum";#N/A,#N/A,FALSE,"source";#N/A,#N/A,FALSE,"cashre";#N/A,#N/A,FALSE,"tax";#N/A,#N/A,FALSE,"benefits";#N/A,#N/A,FALSE,"OPRES";#N/A,#N/A,FALSE,"loan2";#N/A,#N/A,FALSE,"loan3";#N/A,#N/A,FALSE,"ALLDEBT";#N/A,#N/A,FALSE,"loan4";#N/A,#N/A,FALSE,"deprec";#N/A,#N/A,FALSE,"deprepres";#N/A,#N/A,FALSE,"funded";#N/A,#N/A,FALSE,"repres";#N/A,#N/A,FALSE,"SALE";#N/A,#N/A,FALSE,"TAXCREDITS";#N/A,#N/A,FALSE,"capacctre";#N/A,#N/A,FALSE,"miingainre";#N/A,#N/A,FALSE,"cahsirrst";#N/A,#N/A,FALSE,"IRR";#N/A,#N/A,FALSE,"geninfoMT";#N/A,#N/A,FALSE,"data3";#N/A,#N/A,FALSE,"sourcemt";#N/A,#N/A,FALSE,"cashmt";#N/A,#N/A,FALSE,"taxmt";#N/A,#N/A,FALSE,"benefitshist";#N/A,#N/A,FALSE,"opresmt";#N/A,#N/A,FALSE,"fundedmt";#N/A,#N/A,FALSE,"capacctmt";#N/A,#N/A,FALSE,"taxcredamort";"HIRR1",#N/A,FALSE,"irrhtc";#N/A,#N/A,FALSE,"putmt"}</definedName>
    <definedName name="ADSFA" hidden="1">{"inputs raw data",#N/A,TRUE,"INPUT"}</definedName>
    <definedName name="AEWEW" hidden="1">{"inputs raw data",#N/A,TRUE,"INPUT"}</definedName>
    <definedName name="all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anscount" hidden="1">3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a" hidden="1">{"Outflow 1",#N/A,FALSE,"Outflows-Inflows";"Outflow 2",#N/A,FALSE,"Outflows-Inflows";"Inflow 1",#N/A,FALSE,"Outflows-Inflows";"Inflow 2",#N/A,FALSE,"Outflows-Inflows"}</definedName>
    <definedName name="asdf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asdfdddd" hidden="1">{"DCF","UPSIDE CASE",FALSE,"Sheet1";"DCF","BASE CASE",FALSE,"Sheet1";"DCF","DOWNSIDE CASE",FALSE,"Sheet1"}</definedName>
    <definedName name="asdfjasdjflasdjf" hidden="1">{"CASHFLOW",#N/A,FALSE,"Northpointe"}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s" hidden="1">#REF!</definedName>
    <definedName name="asfget" hidden="1">{"Page1",#N/A,FALSE,"7979";"Page2",#N/A,FALSE,"7979";"Page3",#N/A,FALSE,"7979"}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atres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Attach3" hidden="1">{"Grant",#N/A,FALSE,"Grant";"GP Developer",#N/A,FALSE,"GP &amp; Dev Loans";"Operating Analysis",#N/A,FALSE,"Operations";"Tax Credit",#N/A,FALSE,"Tax Credits";"Tax Credit Analysis",#N/A,FALSE,"TC Analysis"}</definedName>
    <definedName name="b" hidden="1">'[19]Projected CF'!$BW$534:$CS$585</definedName>
    <definedName name="BadLink" hidden="1">#REF!</definedName>
    <definedName name="basic.forecast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bb" hidden="1">{#N/A,#N/A,FALSE,"ExitStratigy"}</definedName>
    <definedName name="bbb" hidden="1">{#N/A,#N/A,FALSE,"ExitStratigy"}</definedName>
    <definedName name="BBBBB" hidden="1">{"Outflow 1",#N/A,FALSE,"Outflows-Inflows";"Outflow 2",#N/A,FALSE,"Outflows-Inflows";"Inflow 1",#N/A,FALSE,"Outflows-Inflows";"Inflow 2",#N/A,FALSE,"Outflows-Inflows"}</definedName>
    <definedName name="bbbbbb" hidden="1">{#N/A,#N/A,FALSE,"Services Summary";#N/A,#N/A,FALSE,"Emmes Summary";#N/A,#N/A,FALSE,"Northstar"}</definedName>
    <definedName name="bed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ga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hm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hmgv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huguh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ier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budget" hidden="1">{#N/A,#N/A,FALSE,"ws trial bal.";#N/A,#N/A,FALSE,"ws trial bal. p&amp;l";#N/A,#N/A,FALSE,"ws cash flow"}</definedName>
    <definedName name="budgeyt" hidden="1">{#N/A,#N/A,FALSE,"ws trial bal.";#N/A,#N/A,FALSE,"ws trial bal. p&amp;l";#N/A,#N/A,FALSE,"ws cash flow"}</definedName>
    <definedName name="bvjhm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Calc" hidden="1">{#N/A,#N/A,FALSE,"ws trial balance sheet";#N/A,#N/A,FALSE,"ws trial bal. p &amp; l";#N/A,#N/A,FALSE,"ws cashflow"}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41E9A35_opts" hidden="1">"1, 9, 1, False, 2, False, False, , 0, False, True,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WorkbookPriority" hidden="1">-1951035119</definedName>
    <definedName name="cc" hidden="1">{#N/A,#N/A,FALSE,"Input";#N/A,#N/A,FALSE,"Assump";#N/A,#N/A,FALSE,"Summary";#N/A,#N/A,FALSE,"Oper Proforma";#N/A,#N/A,FALSE,"Error Check";#N/A,#N/A,FALSE,"Misc Calcs";#N/A,#N/A,FALSE,"ConstPh";#N/A,#N/A,FALSE,"ConstDraw";#N/A,#N/A,FALSE,"Loan";#N/A,#N/A,FALSE,"Absorp";#N/A,#N/A,FALSE,"Land Solver"}</definedName>
    <definedName name="ccc" hidden="1">{#N/A,#N/A,FALSE,"LoanAssumptions"}</definedName>
    <definedName name="CCCC" hidden="1">{"rtn",#N/A,FALSE,"RTN";"tables",#N/A,FALSE,"RTN";"cf",#N/A,FALSE,"CF";"stats",#N/A,FALSE,"Stats";"prop",#N/A,FALSE,"Prop"}</definedName>
    <definedName name="changemyname" hidden="1">{#N/A,#N/A,FALSE,"balance";#N/A,#N/A,FALSE,"operations";#N/A,#N/A,FALSE,"partcap";#N/A,#N/A,FALSE,"cashflows"}</definedName>
    <definedName name="CIQWBGuid" hidden="1">"a5846116-4cb9-4472-acdc-24f1768d6d98"</definedName>
    <definedName name="crosscreek" hidden="1">{#N/A,#N/A,TRUE,"IDIQ-I";#N/A,#N/A,TRUE,"IDIQ-II";#N/A,#N/A,TRUE,"IDIQ-III";#N/A,#N/A,TRUE,"IDIQ-IV";#N/A,#N/A,TRUE,"IDIQ-V";#N/A,#N/A,TRUE,"IDIQ-VI"}</definedName>
    <definedName name="crosscreek2" hidden="1">{#N/A,#N/A,TRUE,"General Inputs";#N/A,#N/A,TRUE,"DO-II Worksheet";#N/A,#N/A,TRUE,"DO-V Worksheet"}</definedName>
    <definedName name="Cwvu._Current_." hidden="1">'[18]SCHEDULE E '!$A$3:$IV$13,'[18]SCHEDULE E '!$A$15:$IV$25,'[18]SCHEDULE E '!$A$27:$IV$37,'[18]SCHEDULE E '!$A$39:$IV$49,'[18]SCHEDULE E '!$A$51:$IV$61,'[18]SCHEDULE E '!$A$63:$IV$73,'[18]SCHEDULE E '!$A$75:$IV$85,'[18]SCHEDULE E '!$A$87:$IV$97,'[18]SCHEDULE E '!$A$99:$IV$109,'[18]SCHEDULE E '!$A$111:$IV$121,'[18]SCHEDULE E '!$A$135:$IV$145,'[18]SCHEDULE E '!$A$147:$IV$157,'[18]SCHEDULE E '!$A$159:$IV$169,'[18]SCHEDULE E '!#REF!,'[18]SCHEDULE E '!$A$171:$IV$181,'[18]SCHEDULE E '!$A$183:$IV$193,'[18]SCHEDULE E '!$A$207:$IV$217,'[18]SCHEDULE E '!$A$219:$IV$229,'[18]SCHEDULE E '!$A$231:$IV$241,'[18]SCHEDULE E '!$A$243:$IV$253,'[18]SCHEDULE E '!$A$267:$IV$277,'[18]SCHEDULE E '!$A$279:$IV$289,'[18]SCHEDULE E '!$A$291:$IV$301,'[18]SCHEDULE E '!#REF!</definedName>
    <definedName name="Cwvu.ACCOUNT._.DETAIL." hidden="1">'[18]MARKETING III'!#REF!</definedName>
    <definedName name="Cwvu.WAT." hidden="1">#REF!</definedName>
    <definedName name="d" hidden="1">{#N/A,#N/A,FALSE,"LoanAssumptions"}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FAD" hidden="1">{"cap_structure",#N/A,FALSE,"Graph-Mkt Cap";"price",#N/A,FALSE,"Graph-Price";"ebit",#N/A,FALSE,"Graph-EBITDA";"ebitda",#N/A,FALSE,"Graph-EBITDA"}</definedName>
    <definedName name="data" hidden="1">{"data",#N/A,FALSE,"INPUT"}</definedName>
    <definedName name="Data.Dump" localSheetId="2" hidden="1">OFFSET([0]!Data.Top.Left,1,0)</definedName>
    <definedName name="Data.Dump" localSheetId="0" hidden="1">OFFSET([0]!Data.Top.Left,1,0)</definedName>
    <definedName name="Data.Dump" localSheetId="1" hidden="1">OFFSET([0]!Data.Top.Left,1,0)</definedName>
    <definedName name="Data.Dump" hidden="1">OFFSET([0]!Data.Top.Left,1,0)</definedName>
    <definedName name="DATA_01" hidden="1">#REF!</definedName>
    <definedName name="dd" hidden="1">{"MonthlyRentRoll",#N/A,FALSE,"RentRoll"}</definedName>
    <definedName name="ddd" hidden="1">{"MonthlyRentRoll",#N/A,FALSE,"RentRoll"}</definedName>
    <definedName name="DDDD" hidden="1">{"Outflow 1",#N/A,FALSE,"Outflows-Inflows";"Outflow 2",#N/A,FALSE,"Outflows-Inflows";"Inflow 1",#N/A,FALSE,"Outflows-Inflows";"Inflow 2",#N/A,FALSE,"Outflows-Inflows"}</definedName>
    <definedName name="dddddd" hidden="1">{#N/A,#N/A,FALSE,"CAPREIT"}</definedName>
    <definedName name="ddddddd" hidden="1">{#N/A,#N/A,FALSE,"CAPREIT"}</definedName>
    <definedName name="del" hidden="1">{"Page1",#N/A,FALSE,"7979";"Page2",#N/A,FALSE,"7979";"Page3",#N/A,FALSE,"7979"}</definedName>
    <definedName name="delta" hidden="1">{"ACCOUNTING COPY",#N/A,FALSE,"SCHEDULE A";"FINANCE COPY",#N/A,FALSE,"SCHEDULE A";"P.L. COPY",#N/A,FALSE,"SCHEDULE A"}</definedName>
    <definedName name="depr.." hidden="1">{#N/A,#N/A,FALSE,"balance";#N/A,#N/A,FALSE,"operations";#N/A,#N/A,FALSE,"partcap";#N/A,#N/A,FALSE,"cashflows"}</definedName>
    <definedName name="df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dfd" hidden="1">{"FCB_ALL",#N/A,FALSE,"FCB";"GREY_ALL",#N/A,FALSE,"GREY"}</definedName>
    <definedName name="dfdas" hidden="1">{"FCB_ALL",#N/A,FALSE,"FCB";"GREY_ALL",#N/A,FALSE,"GREY"}</definedName>
    <definedName name="dfdf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fdfd" hidden="1">{"FCB_ALL",#N/A,FALSE,"FCB";"GREY_ALL",#N/A,FALSE,"GREY"}</definedName>
    <definedName name="dfdfdfd" hidden="1">{"FCB_ALL",#N/A,FALSE,"FCB"}</definedName>
    <definedName name="dfdser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dfgsg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DHG" hidden="1">{"cap_structure",#N/A,FALSE,"Graph-Mkt Cap";"price",#N/A,FALSE,"Graph-Price";"ebit",#N/A,FALSE,"Graph-EBITDA";"ebitda",#N/A,FALSE,"Graph-EBITDA"}</definedName>
    <definedName name="Discrepancy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rsg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dsasd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dsthdryjcghmcg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e" hidden="1">{"MonthlyRentRoll",#N/A,FALSE,"RentRoll"}</definedName>
    <definedName name="ee" hidden="1">{#N/A,#N/A,FALSE,"OperatingAssumptions"}</definedName>
    <definedName name="eed.xy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EEE" hidden="1">{"print 1.6",#N/A,FALSE,"Sheet1";"print 2.6",#N/A,FALSE,"Sheet1";"print 3.6",#N/A,FALSE,"Sheet1";"print 4.6",#N/A,FALSE,"Sheet1";"print 5.6",#N/A,FALSE,"Sheet1";"print 6.6",#N/A,FALSE,"Sheet1"}</definedName>
    <definedName name="efg" hidden="1">{"All",#N/A,FALSE,"IS-CF";"All",#N/A,FALSE,"CommitedRev";"All",#N/A,FALSE,"OE";"All",#N/A,FALSE,"Invest";"All",#N/A,FALSE,"BS";"All",#N/A,FALSE,"Value"}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t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esjkdrk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etan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ev.Calculation" hidden="1">-4135</definedName>
    <definedName name="ev.Initialized" hidden="1">FALSE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38790.6648611111</definedName>
    <definedName name="EV__LOCKEDCVW__DRP" hidden="1">"R_REVROI,BU4081,CURRENT,INPUT,D1139,LC,2009.TOTAL,PERIODIC,"</definedName>
    <definedName name="EV__LOCKEDCVW__FINANCE" hidden="1">"GOI,BU4081,CURRENT,TOTALADJ,D_HOTEL,All_InterCo,LC,2010.TOTAL,PERIODIC,"</definedName>
    <definedName name="EV__LOCKEDCVW__FINANCEDETAIL" hidden="1">"706520,BU4081,CURRENT,INPUT,D0185,Non_InterCo,L_ALL,LC,2009.TOTAL,PERIODIC,"</definedName>
    <definedName name="EV__LOCKEDCVW__HCM" hidden="1">"PC_MNTHLY,BU4081,CURRENT,INPUT,D_HOTEL,E0,LC,2009.TOTAL,PERIODIC,"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4</definedName>
    <definedName name="EV__WBVERSION__" hidden="1">0</definedName>
    <definedName name="ew.x3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excel" hidden="1">{#N/A,#N/A,FALSE}</definedName>
    <definedName name="F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dfd" hidden="1">{#N/A,#N/A,FALSE,"CAPREIT"}</definedName>
    <definedName name="fdfdfdf" hidden="1">{#N/A,#N/A,FALSE,"CAPREIT"}</definedName>
    <definedName name="fdgad" hidden="1">{"inputs raw data",#N/A,TRUE,"INPUT"}</definedName>
    <definedName name="FDP_0_1_aUrv" hidden="1">#REF!</definedName>
    <definedName name="FDP_1_1_aUrv" hidden="1">#REF!</definedName>
    <definedName name="FDP_10_1_aD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S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7_1_aUrv" hidden="1">#REF!</definedName>
    <definedName name="FDP_138_1_aUrv" hidden="1">#REF!</definedName>
    <definedName name="FDP_139_1_aUrv" hidden="1">#REF!</definedName>
    <definedName name="FDP_14_1_aUrv" hidden="1">#REF!</definedName>
    <definedName name="FDP_140_1_aU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Srv" hidden="1">#REF!</definedName>
    <definedName name="FDP_151_1_aUrv" hidden="1">#REF!</definedName>
    <definedName name="FDP_152_1_aSrv" hidden="1">#REF!</definedName>
    <definedName name="FDP_153_1_aUrv" hidden="1">#REF!</definedName>
    <definedName name="FDP_154_1_aSrv" hidden="1">#REF!</definedName>
    <definedName name="FDP_155_1_aUrv" hidden="1">#REF!</definedName>
    <definedName name="FDP_156_1_aSrv" hidden="1">#REF!</definedName>
    <definedName name="FDP_157_1_aUrv" hidden="1">#REF!</definedName>
    <definedName name="FDP_158_1_aSrv" hidden="1">#REF!</definedName>
    <definedName name="FDP_159_1_aUrv" hidden="1">#REF!</definedName>
    <definedName name="FDP_16_1_aUrv" hidden="1">#REF!</definedName>
    <definedName name="FDP_160_1_aSrv" hidden="1">#REF!</definedName>
    <definedName name="FDP_161_1_aDrv" hidden="1">#REF!</definedName>
    <definedName name="FDP_162_1_aDrv" hidden="1">#REF!</definedName>
    <definedName name="FDP_163_1_aDrv" hidden="1">#REF!</definedName>
    <definedName name="FDP_164_1_aDrv" hidden="1">#REF!</definedName>
    <definedName name="FDP_165_1_aDrv" hidden="1">#REF!</definedName>
    <definedName name="FDP_166_1_aDrv" hidden="1">#REF!</definedName>
    <definedName name="FDP_167_1_aDrv" hidden="1">#REF!</definedName>
    <definedName name="FDP_168_1_aDrv" hidden="1">#REF!</definedName>
    <definedName name="FDP_169_1_aDrv" hidden="1">#REF!</definedName>
    <definedName name="FDP_17_1_aUrv" hidden="1">#REF!</definedName>
    <definedName name="FDP_170_1_aDrv" hidden="1">#REF!</definedName>
    <definedName name="FDP_171_1_aDrv" hidden="1">#REF!</definedName>
    <definedName name="FDP_172_1_aDrv" hidden="1">#REF!</definedName>
    <definedName name="FDP_173_1_aDrv" hidden="1">#REF!</definedName>
    <definedName name="FDP_174_1_aUrv" hidden="1">#REF!</definedName>
    <definedName name="FDP_175_1_aUrv" hidden="1">#REF!</definedName>
    <definedName name="FDP_176_1_aU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180_1_aUdv" hidden="1">#REF!</definedName>
    <definedName name="FDP_181_1_aUdv" hidden="1">#REF!</definedName>
    <definedName name="FDP_182_1_aUdv" hidden="1">#REF!</definedName>
    <definedName name="FDP_183_1_aUdv" hidden="1">#REF!</definedName>
    <definedName name="FDP_184_1_aUdv" hidden="1">#REF!</definedName>
    <definedName name="FDP_185_1_aUdv" hidden="1">#REF!</definedName>
    <definedName name="FDP_186_1_aUdv" hidden="1">#REF!</definedName>
    <definedName name="FDP_187_1_aUdv" hidden="1">#REF!</definedName>
    <definedName name="FDP_188_1_aUdv" hidden="1">#REF!</definedName>
    <definedName name="FDP_189_1_aUdv" hidden="1">#REF!</definedName>
    <definedName name="FDP_19_1_aUrv" hidden="1">#REF!</definedName>
    <definedName name="FDP_190_1_aUdv" hidden="1">#REF!</definedName>
    <definedName name="FDP_191_1_aUdv" hidden="1">#REF!</definedName>
    <definedName name="FDP_192_1_aUdv" hidden="1">#REF!</definedName>
    <definedName name="FDP_193_1_aUdv" hidden="1">#REF!</definedName>
    <definedName name="FDP_194_1_aUdv" hidden="1">#REF!</definedName>
    <definedName name="FDP_195_1_aUdv" hidden="1">#REF!</definedName>
    <definedName name="FDP_196_1_aUdv" hidden="1">#REF!</definedName>
    <definedName name="FDP_197_1_aUdv" hidden="1">#REF!</definedName>
    <definedName name="FDP_198_1_aUdv" hidden="1">#REF!</definedName>
    <definedName name="FDP_199_1_aUd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D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9_1_aDrv" hidden="1">#REF!</definedName>
    <definedName name="FDP_3_1_aUrv" hidden="1">#REF!</definedName>
    <definedName name="FDP_30_1_aUrv" hidden="1">#REF!</definedName>
    <definedName name="FDP_31_1_aUrv" hidden="1">#REF!</definedName>
    <definedName name="FDP_32_1_aUrv" hidden="1">#REF!</definedName>
    <definedName name="FDP_33_1_aUrv" hidden="1">#REF!</definedName>
    <definedName name="FDP_34_1_aUrv" hidden="1">#REF!</definedName>
    <definedName name="FDP_35_1_aS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Srv" hidden="1">#REF!</definedName>
    <definedName name="FDP_42_1_aSrv" hidden="1">#REF!</definedName>
    <definedName name="FDP_43_1_aUrv" hidden="1">#REF!</definedName>
    <definedName name="FDP_44_1_aUrv" hidden="1">#REF!</definedName>
    <definedName name="FDP_45_1_aUrv" hidden="1">#REF!</definedName>
    <definedName name="FDP_46_1_aUrv" hidden="1">#REF!</definedName>
    <definedName name="FDP_47_1_aUrv" hidden="1">#REF!</definedName>
    <definedName name="FDP_48_1_aSrv" hidden="1">#REF!</definedName>
    <definedName name="FDP_49_1_aUrv" hidden="1">#REF!</definedName>
    <definedName name="FDP_5_1_aUrv" hidden="1">#REF!</definedName>
    <definedName name="FDP_50_1_aUrv" hidden="1">#REF!</definedName>
    <definedName name="FDP_51_1_aUrv" hidden="1">#REF!</definedName>
    <definedName name="FDP_52_1_aUrv" hidden="1">#REF!</definedName>
    <definedName name="FDP_53_1_aUrv" hidden="1">#REF!</definedName>
    <definedName name="FDP_54_1_aUrv" hidden="1">#REF!</definedName>
    <definedName name="FDP_55_1_aUrv" hidden="1">#REF!</definedName>
    <definedName name="FDP_56_1_aUrv" hidden="1">#REF!</definedName>
    <definedName name="FDP_57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Srv" hidden="1">#REF!</definedName>
    <definedName name="FDP_62_1_aSrv" hidden="1">#REF!</definedName>
    <definedName name="FDP_63_1_aUrv" hidden="1">#REF!</definedName>
    <definedName name="FDP_64_1_aSrv" hidden="1">#REF!</definedName>
    <definedName name="FDP_65_1_aS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Drv" hidden="1">#REF!</definedName>
    <definedName name="FDP_71_1_aUrv" hidden="1">#REF!</definedName>
    <definedName name="FDP_72_1_aDrv" hidden="1">#REF!</definedName>
    <definedName name="FDP_73_1_aUrv" hidden="1">#REF!</definedName>
    <definedName name="FDP_74_1_aUrv" hidden="1">#REF!</definedName>
    <definedName name="FDP_75_1_aSrv" hidden="1">#REF!</definedName>
    <definedName name="FDP_76_1_aUrv" hidden="1">#REF!</definedName>
    <definedName name="FDP_77_1_aUrv" hidden="1">#REF!</definedName>
    <definedName name="FDP_78_1_aUrv" hidden="1">#REF!</definedName>
    <definedName name="FDP_79_1_aUrv" hidden="1">#REF!</definedName>
    <definedName name="FDP_8_1_aDrv" hidden="1">#REF!</definedName>
    <definedName name="FDP_80_1_aUrv" hidden="1">#REF!</definedName>
    <definedName name="FDP_81_1_aSrv" hidden="1">#REF!</definedName>
    <definedName name="FDP_82_1_aUrv" hidden="1">#REF!</definedName>
    <definedName name="FDP_83_1_aSrv" hidden="1">#REF!</definedName>
    <definedName name="FDP_84_1_aUrv" hidden="1">#REF!</definedName>
    <definedName name="FDP_85_1_aUrv" hidden="1">#REF!</definedName>
    <definedName name="FDP_86_1_aUrv" hidden="1">#REF!</definedName>
    <definedName name="FDP_87_1_aSrv" hidden="1">#REF!</definedName>
    <definedName name="FDP_88_1_aUrv" hidden="1">#REF!</definedName>
    <definedName name="FDP_89_1_aSrv" hidden="1">#REF!</definedName>
    <definedName name="FDP_9_1_aDrv" hidden="1">#REF!</definedName>
    <definedName name="FDP_90_1_aUrv" hidden="1">#REF!</definedName>
    <definedName name="FDP_91_1_aUrv" hidden="1">#REF!</definedName>
    <definedName name="FDP_92_1_aSrv" hidden="1">#REF!</definedName>
    <definedName name="FDP_93_1_aD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e" hidden="1">{"final",#N/A,FALSE,"Fin. Analysis";"worksheet",#N/A,FALSE,"Fin. Analysis";"notes",#N/A,FALSE,"Fin. Analysis"}</definedName>
    <definedName name="fff" hidden="1">{#N/A,#N/A,TRUE,"Summary";"AnnualRentRoll",#N/A,TRUE,"RentRoll";#N/A,#N/A,TRUE,"ExitStratigy";#N/A,#N/A,TRUE,"OperatingAssumptions"}</definedName>
    <definedName name="fgr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s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gxdfbvf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2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low2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Flow3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fm" hidden="1">{"summary1",#N/A,TRUE,"Comps";"summary2",#N/A,TRUE,"Comps";"summary3",#N/A,TRUE,"Comps"}</definedName>
    <definedName name="fqww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frgnr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frse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g" hidden="1">{"mgmt forecast",#N/A,FALSE,"Mgmt Forecast";"dcf table",#N/A,FALSE,"Mgmt Forecast";"sensitivity",#N/A,FALSE,"Mgmt Forecast";"table inputs",#N/A,FALSE,"Mgmt Forecast";"calculations",#N/A,FALSE,"Mgmt Forecast"}</definedName>
    <definedName name="gbjkh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ed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f" hidden="1">{#N/A,#N/A,FALSE,"ACQ";#N/A,#N/A,FALSE,"ASSUMP";#N/A,#N/A,FALSE,"CASH FLOW";#N/A,#N/A,FALSE,"SALE";#N/A,#N/A,FALSE,"TIS";#N/A,#N/A,FALSE,"RENT ROLL"}</definedName>
    <definedName name="gfderes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fhs" hidden="1">{"summary1",#N/A,TRUE,"Comps";"summary2",#N/A,TRUE,"Comps";"summary3",#N/A,TRUE,"Comps"}</definedName>
    <definedName name="gg" hidden="1">{#N/A,#N/A,FALSE,"PropertyInfo"}</definedName>
    <definedName name="ggf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gg" hidden="1">{#N/A,#N/A,FALSE,"PropertyInfo"}</definedName>
    <definedName name="gggg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h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rfaser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ross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grsaea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gs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gss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d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HELLO" hidden="1">{#N/A,#N/A,FALSE,"ws trial balance sheet";#N/A,#N/A,FALSE,"ws trial bal. p &amp; l";#N/A,#N/A,FALSE,"ws cashflow"}</definedName>
    <definedName name="hggffg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hh" hidden="1">{#N/A,#N/A,FALSE,"Summary"}</definedName>
    <definedName name="hhh" hidden="1">'[20]Home Sales'!#REF!</definedName>
    <definedName name="hhhh" hidden="1">'[20]Home Sales'!#REF!</definedName>
    <definedName name="hhhhhh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MLkUp" hidden="1">'[21]Historic Market'!$BD$6:$BD$12</definedName>
    <definedName name="HMSeek" hidden="1">'[21]Historic Market'!$BD$13:$BD$13</definedName>
    <definedName name="hn.Delete015" hidden="1">'[22]CREDIT STATS'!$B$9:$K$14,'[22]CREDIT STATS'!$O$11:$X$18,'[22]CREDIT STATS'!$B$28:$K$37,'[22]CREDIT STATS'!$O$28:$X$32,'[22]CREDIT STATS'!$O$46:$X$46</definedName>
    <definedName name="hn.DZ_MultByFXRates" hidden="1">[23]DropZone!$B$2:$I$118,[23]DropZone!$B$120:$I$132,[23]DropZone!$B$134:$I$136,[23]DropZone!$B$138:$I$146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rt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HTML1_10" hidden="1">""</definedName>
    <definedName name="HTML1_11" hidden="1">1</definedName>
    <definedName name="HTML1_12" hidden="1">"C:\INTRANET\GERMANY.htm"</definedName>
    <definedName name="HTML1_2" hidden="1">1</definedName>
    <definedName name="HTML1_3" hidden="1">"PP_EUR"</definedName>
    <definedName name="HTML1_4" hidden="1">"Germany"</definedName>
    <definedName name="HTML1_5" hidden="1">""</definedName>
    <definedName name="HTML1_6" hidden="1">-4146</definedName>
    <definedName name="HTML1_7" hidden="1">-4146</definedName>
    <definedName name="HTML1_8" hidden="1">"8/31/96"</definedName>
    <definedName name="HTML1_9" hidden="1">""</definedName>
    <definedName name="HTML2_10" hidden="1">""</definedName>
    <definedName name="HTML2_11" hidden="1">-4146</definedName>
    <definedName name="HTML2_12" hidden="1">"C:\My Documents\Intranet\profit plan\HTML\GERMANY.htm"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""</definedName>
    <definedName name="HTML2_9" hidden="1">""</definedName>
    <definedName name="HTMLCount" hidden="1">2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m" hidden="1">{"RATES",#N/A,FALSE,"RECOVERY RATES";"CONTRIBUTIONS",#N/A,FALSE,"RECOVERY RATES";"GLA CATEGORY SUMMARY",#N/A,FALSE,"RECOVERY RATES"}</definedName>
    <definedName name="hyh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IHMConsultant" hidden="1">[21]Project!$C$15:$C$15</definedName>
    <definedName name="IHMFirstProjected" hidden="1">[21]Project!$C$10:$C$10</definedName>
    <definedName name="IHMLastHistoric" hidden="1">[21]Project!$C$12:$C$12</definedName>
    <definedName name="IHMLocation" hidden="1">[21]Project!$C$22:$C$22</definedName>
    <definedName name="IHMModelVersion" hidden="1">[21]Project!$C$19:$C$19</definedName>
    <definedName name="IHMNumRooms" hidden="1">[21]Project!$C$9:$C$9</definedName>
    <definedName name="IHMPrintPO1" hidden="1">'[21]Projected Occupancy'!$A$5:$M$97</definedName>
    <definedName name="IHMPrintPO2" hidden="1">'[21]Projected Occupancy'!$A$99:$AW$277</definedName>
    <definedName name="IHMPrintPO3" hidden="1">'[21]Projected Occupancy'!$A$280:$L$385</definedName>
    <definedName name="IHMPrintPR1" hidden="1">'[21]Projected Rate'!$A$3:$M$47</definedName>
    <definedName name="IHMProjectCity" hidden="1">[21]Project!$C$7:$C$7</definedName>
    <definedName name="IHMProjectName" hidden="1">[21]Project!$C$6:$C$6</definedName>
    <definedName name="IHMProjectState" hidden="1">[21]Project!$C$8:$C$8</definedName>
    <definedName name="IHMPropertyLocation" hidden="1">[21]Project!$C$21:$C$21</definedName>
    <definedName name="IHMReviewer" hidden="1">[21]Project!$C$14:$C$14</definedName>
    <definedName name="IntroPrintArea" hidden="1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BS_PERIOD_EST" hidden="1">"c16122"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ID" hidden="1">"c13756"</definedName>
    <definedName name="IQ_BOARD_MEMBER_MAIN_FAX" hidden="1">"c15174"</definedName>
    <definedName name="IQ_BOARD_MEMBER_MAIN_PHONE" hidden="1">"c15173"</definedName>
    <definedName name="IQ_BOARD_MEMBER_OFFICE_ADDRESS" hidden="1">"c15172"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G_SUB_BASIC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HOMEBUILDING_SALES" hidden="1">"c15815"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HOMEBUILDING_SALES" hidden="1">"c15816"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OTHER" hidden="1">"c15615"</definedName>
    <definedName name="IQ_ECS_NUM_SHAREHOLDERS_OTHER_ABS" hidden="1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BOTTOM_UP_CIQ" hidden="1">"c12026"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BOTTOM_UP_CIQ" hidden="1">"c12028"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BOTTOM_UP_CIQ" hidden="1">"c12029"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BITDA_CIQ" hidden="1">"c3667"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THOM" hidden="1">"c4005"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ACT_REV_CIQ" hidden="1">"c3666"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DIFF_CIQ" hidden="1">"c3719"</definedName>
    <definedName name="IQ_EST_EBITDA_GROWTH_1YR" hidden="1">"c1766"</definedName>
    <definedName name="IQ_EST_EBITDA_GROWTH_1YR_CIQ" hidden="1">"c3695"</definedName>
    <definedName name="IQ_EST_EBITDA_GROWTH_2YR" hidden="1">"c1767"</definedName>
    <definedName name="IQ_EST_EBITDA_GROWTH_2YR_CIQ" hidden="1">"c3696"</definedName>
    <definedName name="IQ_EST_EBITDA_GROWTH_Q_1YR" hidden="1">"c1768"</definedName>
    <definedName name="IQ_EST_EBITDA_GROWTH_Q_1YR_CIQ" hidden="1">"c3697"</definedName>
    <definedName name="IQ_EST_EBITDA_SEQ_GROWTH_Q" hidden="1">"c1769"</definedName>
    <definedName name="IQ_EST_EBITDA_SEQ_GROWTH_Q_CIQ" hidden="1">"c3698"</definedName>
    <definedName name="IQ_EST_EBITDA_SURPRISE_PERCENT" hidden="1">"c1868"</definedName>
    <definedName name="IQ_EST_EBITDA_SURPRISE_PERCENT_CIQ" hidden="1">"c3720"</definedName>
    <definedName name="IQ_EST_EPS_DIFF" hidden="1">"c1864"</definedName>
    <definedName name="IQ_EST_EPS_DIFF_CIQ" hidden="1">"c4999"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5YR" hidden="1">"c1655"</definedName>
    <definedName name="IQ_EST_EPS_GROWTH_5YR_BOTTOM_UP_CIQ" hidden="1">"c12024"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EQ_GROWTH_Q_CIQ" hidden="1">"c3690"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FAIR_VALUE_MORT_SERVICING_ASSETS_FFIEC" hidden="1">"c12956"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IGH_REC" hidden="1">"c5649"</definedName>
    <definedName name="IQ_EST_NUM_HIGH_REC_CIQ" hidden="1">"c3701"</definedName>
    <definedName name="IQ_EST_NUM_HIGHEST_REC" hidden="1">"c5648"</definedName>
    <definedName name="IQ_EST_NUM_HIGHEST_REC_CIQ" hidden="1">"c3700"</definedName>
    <definedName name="IQ_EST_NUM_HOLD" hidden="1">"c1761"</definedName>
    <definedName name="IQ_EST_NUM_LOW_REC" hidden="1">"c5651"</definedName>
    <definedName name="IQ_EST_NUM_LOW_REC_CIQ" hidden="1">"c3703"</definedName>
    <definedName name="IQ_EST_NUM_LOWEST_REC" hidden="1">"c5652"</definedName>
    <definedName name="IQ_EST_NUM_LOWEST_REC_CIQ" hidden="1">"c3704"</definedName>
    <definedName name="IQ_EST_NUM_NEUTRAL_REC" hidden="1">"c5650"</definedName>
    <definedName name="IQ_EST_NUM_NEUTRAL_REC_CIQ" hidden="1">"c3702"</definedName>
    <definedName name="IQ_EST_NUM_NO_OPINION" hidden="1">"c1758"</definedName>
    <definedName name="IQ_EST_NUM_NO_OPINION_CIQ" hidden="1">"c3699"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DIFF_CIQ" hidden="1">"c3717"</definedName>
    <definedName name="IQ_EST_REV_GROWTH_1YR" hidden="1">"c1638"</definedName>
    <definedName name="IQ_EST_REV_GROWTH_1YR_CIQ" hidden="1">"c3691"</definedName>
    <definedName name="IQ_EST_REV_GROWTH_2YR" hidden="1">"c1639"</definedName>
    <definedName name="IQ_EST_REV_GROWTH_2YR_CIQ" hidden="1">"c3692"</definedName>
    <definedName name="IQ_EST_REV_GROWTH_Q_1YR" hidden="1">"c1640"</definedName>
    <definedName name="IQ_EST_REV_GROWTH_Q_1YR_CIQ" hidden="1">"c3693"</definedName>
    <definedName name="IQ_EST_REV_SEQ_GROWTH_Q" hidden="1">"c1765"</definedName>
    <definedName name="IQ_EST_REV_SEQ_GROWTH_Q_CIQ" hidden="1">"c3694"</definedName>
    <definedName name="IQ_EST_REV_SURPRISE_PERCENT" hidden="1">"c1866"</definedName>
    <definedName name="IQ_EST_REV_SURPRISE_PERCENT_CIQ" hidden="1">"c3718"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hidden="1">"Altair"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"c4970"</definedName>
    <definedName name="IQ_FFO_EST_THOM" hidden="1">"c3999"</definedName>
    <definedName name="IQ_FFO_HIGH_EST" hidden="1">"c419"</definedName>
    <definedName name="IQ_FFO_HIGH_EST_CIQ" hidden="1">"c4977"</definedName>
    <definedName name="IQ_FFO_HIGH_EST_THOM" hidden="1">"c4001"</definedName>
    <definedName name="IQ_FFO_LOW_EST" hidden="1">"c420"</definedName>
    <definedName name="IQ_FFO_LOW_EST_CIQ" hidden="1">"c4978"</definedName>
    <definedName name="IQ_FFO_LOW_EST_THOM" hidden="1">"c4002"</definedName>
    <definedName name="IQ_FFO_MEDIAN_EST" hidden="1">"c1665"</definedName>
    <definedName name="IQ_FFO_MEDIAN_EST_CIQ" hidden="1">"c4979"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"c4981"</definedName>
    <definedName name="IQ_FFO_STDDEV_EST_THOM" hidden="1">"c4004"</definedName>
    <definedName name="IQ_FFO_TOTAL_REVENUE" hidden="1">"c16060"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FEE_INC_NON_INT_INC_FFIEC" hidden="1">"c13493"</definedName>
    <definedName name="IQ_FUND_NAV" hidden="1">"c15225"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EST_CIQ" hidden="1">"c13924"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TYPE" hidden="1">"c15223"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NAMES_REVISION_DATE_" hidden="1">41600.4978472222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RE" hidden="1">"c16011"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NONINTEREST_INC_EXP_INTERNATIONAL_OPS_FFIEC" hidden="1">"c15387"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FFIEC" hidden="1">"c13034"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ETRATION_BASIC_CABLE" hidden="1">"c2850"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CIQ" hidden="1">"c3613"</definedName>
    <definedName name="IQ_PRICE_TARGET_REUT" hidden="1">"c3631"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ID" hidden="1">"c13755"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_CIQ" hidden="1">"c12025"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ISION_DATE_" hidden="1">39622.5901273148</definedName>
    <definedName name="IQ_REVISION_DATE__1" hidden="1">39125.817037037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POSITIONS_FFIEC" hidden="1">"c12859"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FIC_ALLOWANCE" hidden="1">"c15247"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"c2857"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"c15789"</definedName>
    <definedName name="IQ_VOICE_SUB_TOTAL_HOMES_PASSED" hidden="1">"c15770"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jb" hidden="1">{"summary1",#N/A,TRUE,"Comps";"summary2",#N/A,TRUE,"Comps";"summary3",#N/A,TRUE,"Comps"}</definedName>
    <definedName name="JESUS" hidden="1">{#N/A,#N/A,TRUE,"Facility-Input";#N/A,#N/A,TRUE,"Graphs";#N/A,#N/A,TRUE,"TOTAL"}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UNK" hidden="1">{"'Table of Contents'!$A$1"}</definedName>
    <definedName name="k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K2_WBEVMODE" hidden="1">0</definedName>
    <definedName name="kayla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gkjh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kil" hidden="1">'[20]Home Sales'!#REF!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j" hidden="1">{"CASHFLOW",#N/A,FALSE,"Northpointe"}</definedName>
    <definedName name="kk" hidden="1">{#N/A,#N/A,FALSE,"Input";#N/A,#N/A,FALSE,"Assump";#N/A,#N/A,FALSE,"Summary";#N/A,#N/A,FALSE,"Oper Proforma";#N/A,#N/A,FALSE,"Error Check";#N/A,#N/A,FALSE,"Misc Calcs";#N/A,#N/A,FALSE,"ConstPh";#N/A,#N/A,FALSE,"ConstDraw";#N/A,#N/A,FALSE,"Loan";#N/A,#N/A,FALSE,"Absorp";#N/A,#N/A,FALSE,"Land Solver"}</definedName>
    <definedName name="kkfg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kkjhgd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kkk" hidden="1">{#N/A,#N/A,FALSE,"B_Spread"}</definedName>
    <definedName name="kkkkkkkkkk" hidden="1">{#N/A,#N/A,FALSE,"Cash Flow";#N/A,#N/A,FALSE,"scenario 1"}</definedName>
    <definedName name="kyd.ChngCell.01." hidden="1">#REF!</definedName>
    <definedName name="kyd.CounterLimitCell.01." hidden="1">"x"</definedName>
    <definedName name="kyd.Dim.01." hidden="1">"toad:Company"</definedName>
    <definedName name="kyd.ElementList.01." hidden="1">#REF!</definedName>
    <definedName name="kyd.ElementType.01." hidden="1">3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LC" hidden="1">{#N/A,#N/A,FALSE,"fs balance";#N/A,#N/A,FALSE,"fs operations";#N/A,#N/A,FALSE,"fs capital";#N/A,#N/A,FALSE,"fs cashflow"}</definedName>
    <definedName name="Lih" hidden="1">{#N/A,#N/A,FALSE,"ws trial balance sheet";#N/A,#N/A,FALSE,"ws trial bal. p &amp; l";#N/A,#N/A,FALSE,"ws cashflow"}</definedName>
    <definedName name="Lihcalc" hidden="1">{#N/A,#N/A,FALSE,"ws trial balance sheet";#N/A,#N/A,FALSE,"ws trial bal. p &amp; l";#N/A,#N/A,FALSE,"ws cashflow"}</definedName>
    <definedName name="limcount" hidden="1">1</definedName>
    <definedName name="ListOffset" hidden="1">1</definedName>
    <definedName name="ll" hidden="1">{#N/A,#N/A,FALSE,"Summary";#N/A,#N/A,FALSE,"Assump";#N/A,#N/A,FALSE,"Oper Proforma"}</definedName>
    <definedName name="lll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PlaceofPath" hidden="1">"F:\SPOULIOS\DATA\CHV\chv_vdf.xls"</definedName>
    <definedName name="mb_inputLocation" hidden="1">#REF!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lo" hidden="1">{"AnnualRentRoll",#N/A,FALSE,"RentRoll"}</definedName>
    <definedName name="MEWarning" hidden="1">1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ps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name1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100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101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105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11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12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2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3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4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5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6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7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ame99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ewdebt" hidden="1">{"Spread Dollars",#N/A,FALSE,"Budget";"Spread Ratios",#N/A,FALSE,"Budget";"Target Comparison",#N/A,FALSE,"Summary"}</definedName>
    <definedName name="NEWFIN" hidden="1">{#N/A,#N/A,FALSE,"assets";#N/A,#N/A,FALSE,"cashflow";#N/A,#N/A,FALSE,"capital";#N/A,#N/A,FALSE,"revenues"}</definedName>
    <definedName name="nhjythh" hidden="1">{"DCF","UPSIDE CASE",FALSE,"Sheet1";"DCF","BASE CASE",FALSE,"Sheet1";"DCF","DOWNSIDE CASE",FALSE,"Sheet1"}</definedName>
    <definedName name="nnn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nswhew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oldfile2" hidden="1">{#N/A,#N/A,FALSE,"Summary";#N/A,#N/A,FALSE,"Buckets";#N/A,#N/A,FALSE,"Northstar";#N/A,#N/A,FALSE,"Comp"}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ooo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ooooooo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Ownership" localSheetId="2" hidden="1">OFFSET([0]!Data.Top.Left,1,0)</definedName>
    <definedName name="Ownership" localSheetId="0" hidden="1">OFFSET([0]!Data.Top.Left,1,0)</definedName>
    <definedName name="Ownership" localSheetId="1" hidden="1">OFFSET([0]!Data.Top.Left,1,0)</definedName>
    <definedName name="Ownership" hidden="1">OFFSET([0]!Data.Top.Left,1,0)</definedName>
    <definedName name="p" hidden="1">{"summary1",#N/A,TRUE,"Comps";"summary2",#N/A,TRUE,"Comps";"summary3",#N/A,TRUE,"Comps"}</definedName>
    <definedName name="Pal_Workbook_GUID" hidden="1">"YL5TLP7784SSLFJM9TPBM4WF"</definedName>
    <definedName name="PO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Private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promote" hidden="1">{"Investor",#N/A,FALSE,"Model";"Property",#N/A,FALSE,"Model";"Incentive Taxes",#N/A,FALSE,"Model"}</definedName>
    <definedName name="PUB_FileID" hidden="1">"L10003363.xls"</definedName>
    <definedName name="PUB_UserID" hidden="1">"MAYERX"</definedName>
    <definedName name="qqfxlCalcReset" hidden="1">TRUE</definedName>
    <definedName name="qqfxlCalculateOnOpen" hidden="1">FALSE</definedName>
    <definedName name="qqfxlFullBoth" hidden="1">FALSE</definedName>
    <definedName name="qqfxlManualBoth" hidden="1">FALSE</definedName>
    <definedName name="qqfxlSheetsBoth" hidden="1">TRUE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" hidden="1">{#N/A,#N/A,FALSE,"assets";#N/A,#N/A,FALSE,"cashflow";#N/A,#N/A,FALSE,"capital";#N/A,#N/A,FALSE,"revenues"}</definedName>
    <definedName name="qw" hidden="1">{"FCB_ALL",#N/A,FALSE,"FCB";"GREY_ALL",#N/A,FALSE,"GREY"}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E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raejnah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RAJE" hidden="1">{#N/A,#N/A,FALSE,"ws trial balance sheet";#N/A,#N/A,FALSE,"ws trial bal. p &amp; l";#N/A,#N/A,FALSE,"ws cashflow"}</definedName>
    <definedName name="rena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" hidden="1">{#N/A,#N/A,TRUE,"toc";#N/A,#N/A,TRUE,"benefits";#N/A,#N/A,TRUE,"TAXCREDITS";#N/A,#N/A,TRUE,"sourcedetail";#N/A,#N/A,TRUE,"finsum";#N/A,#N/A,TRUE,"cash";#N/A,#N/A,TRUE,"tax";#N/A,#N/A,TRUE,"loan2";#N/A,#N/A,TRUE,"loan3";#N/A,#N/A,TRUE,"deprec";#N/A,#N/A,TRUE,"funded";#N/A,#N/A,TRUE,"SALE";#N/A,#N/A,TRUE,"benefits long";#N/A,#N/A,TRUE,"IRR"}</definedName>
    <definedName name="rgawe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rgeqw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rgtse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rr" hidden="1">{#N/A,#N/A,FALSE,"ExecutiveSummary";#N/A,#N/A,FALSE,"CostDetail";#N/A,#N/A,FALSE,"IncomeDetail"}</definedName>
    <definedName name="rt" hidden="1">{"inputs raw data",#N/A,TRUE,"INPUT"}</definedName>
    <definedName name="rwe" hidden="1">{"Grant",#N/A,FALSE,"Grant";"GP Developer",#N/A,FALSE,"GP &amp; Dev Loans";"Operating Analysis",#N/A,FALSE,"Operations";"Tax Credit",#N/A,FALSE,"Tax Credits";"Tax Credit Analysis",#N/A,FALSE,"TC Analysis"}</definedName>
    <definedName name="Rwvu.ALL." hidden="1">'[18]SCHEDULE B+C'!$DF$1:$DG$65536,'[18]SCHEDULE B+C'!$DK$1:$DK$65536</definedName>
    <definedName name="Rwvu.CAM._.RATES." hidden="1">'[17]Min Rent'!$B$1:$C$65536,'[17]Min Rent'!$F$1:$AA$65536,'[17]Min Rent'!#REF!</definedName>
    <definedName name="Rwvu.CAM._.RECOVERIES." hidden="1">'[18]SCHEDULE B+C'!$B$1:$C$65536,'[18]SCHEDULE B+C'!$E$1:$BH$65536,'[18]SCHEDULE B+C'!$BX$1:$DM$65536</definedName>
    <definedName name="Rwvu.CAM._.RECOVERY." hidden="1">'[17]Min Rent'!$B$1:$C$65536,'[17]Min Rent'!$F$1:$AA$65536,'[17]Min Rent'!#REF!</definedName>
    <definedName name="Rwvu.CAM._.TABLE." hidden="1">'[18]SCHEDULE B+C'!$B$1:$C$65536,'[18]SCHEDULE B+C'!$E$1:$BH$65536,'[18]SCHEDULE B+C'!$BX$1:$DM$65536</definedName>
    <definedName name="Rwvu.INSURANCE._.RECOVERIES." hidden="1">'[18]SCHEDULE B+C'!$B$1:$C$65536,'[18]SCHEDULE B+C'!$E$1:$BH$65536,'[18]SCHEDULE B+C'!$BJ$1:$CK$65536,'[18]SCHEDULE B+C'!$CZ$1:$EP$65536</definedName>
    <definedName name="Rwvu.LSMEET." hidden="1">'[17]Min Rent'!$C$1:$C$65536,'[17]Min Rent'!#REF!,'[17]Min Rent'!#REF!,'[17]Min Rent'!#REF!</definedName>
    <definedName name="Rwvu.MARKETING._.REVENUE." hidden="1">'[17]Min Rent'!$B$1:$C$65536,'[17]Min Rent'!$F$1:$F$65536,'[17]Min Rent'!$H$1:$AA$65536</definedName>
    <definedName name="Rwvu.MINIMUM._.RENT." hidden="1">'[17]Min Rent'!$B$1:$C$65536,'[17]Min Rent'!#REF!</definedName>
    <definedName name="Rwvu.OCCUPANCY." hidden="1">'[17]Min Rent'!$B$1:$C$65536,'[17]Min Rent'!$I$1:$AA$65536,'[17]Min Rent'!#REF!</definedName>
    <definedName name="Rwvu.OCCUPANCY._.ANALYSIS." hidden="1">'[18]SCHEDULE B+C'!$B$1:$C$65536,'[18]SCHEDULE B+C'!$H$1:$AV$65536,'[18]SCHEDULE B+C'!$BJ$1:$FG$65536</definedName>
    <definedName name="Rwvu.PERCENTAGE._.RENT." hidden="1">'[17]Min Rent'!$B$1:$C$65536,'[17]Min Rent'!$F$1:$AA$65536,'[17]Min Rent'!#REF!,'[17]Min Rent'!#REF!</definedName>
    <definedName name="Rwvu.TAX._.RATES." hidden="1">'[17]Min Rent'!$B$1:$C$65536,'[17]Min Rent'!$F$1:$AA$65536,'[17]Min Rent'!#REF!</definedName>
    <definedName name="Rwvu.TAX._.RECOVERIES." hidden="1">'[18]SCHEDULE B+C'!$B$1:$C$65536,'[18]SCHEDULE B+C'!$E$1:$BH$65536,'[18]SCHEDULE B+C'!$BJ$1:$BW$65536,'[18]SCHEDULE B+C'!$CL$1:$EY$65536</definedName>
    <definedName name="Rwvu.TAX._.RECOVERY." hidden="1">'[17]Min Rent'!$B$1:$C$65536,'[17]Min Rent'!$F$1:$AA$65536,'[17]Min Rent'!#REF!</definedName>
    <definedName name="Rwvu.WAT." hidden="1">#REF!</definedName>
    <definedName name="S.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s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saa" hidden="1">{"rtn",#N/A,FALSE,"RTN";"tables",#N/A,FALSE,"RTN";"cf",#N/A,FALSE,"CF";"stats",#N/A,FALSE,"Stats";"prop",#N/A,FALSE,"Prop"}</definedName>
    <definedName name="sadd" hidden="1">{"DCF","UPSIDE CASE",FALSE,"Sheet1";"DCF","BASE CASE",FALSE,"Sheet1";"DCF","DOWNSIDE CASE",FALSE,"Sheet1"}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s" hidden="1">{"Outflow 1",#N/A,FALSE,"Outflows-Inflows";"Outflow 2",#N/A,FALSE,"Outflows-Inflows";"Inflow 1",#N/A,FALSE,"Outflows-Inflows";"Inflow 2",#N/A,FALSE,"Outflows-Inflows"}</definedName>
    <definedName name="sd" hidden="1">{"summary1",#N/A,TRUE,"Comps";"summary2",#N/A,TRUE,"Comps";"summary3",#N/A,TRUE,"Comps"}</definedName>
    <definedName name="sdbfwajelk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sdfass" hidden="1">{"Outflow 1",#N/A,FALSE,"Outflows-Inflows";"Outflow 2",#N/A,FALSE,"Outflows-Inflows";"Inflow 1",#N/A,FALSE,"Outflows-Inflows";"Inflow 2",#N/A,FALSE,"Outflows-Inflows"}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sa" hidden="1">{"ASS",#N/A,FALSE,"Assumptions";"OUT1",#N/A,FALSE,"1";"out2",#N/A,FALSE,"2";"out3",#N/A,FALSE,"3";"out4",#N/A,FALSE,"4";"out5",#N/A,FALSE,"5";"out6",#N/A,FALSE,"6";"out7",#N/A,FALSE,"7";"out8",#N/A,FALSE,"8";"out9",#N/A,FALSE,"9";"out10",#N/A,FALSE,"10";"out11",#N/A,FALSE,"11";"out12",#N/A,FALSE,"12";"out13",#N/A,FALSE,"13";"out14",#N/A,FALSE,"14";"out15",#N/A,FALSE,"15";"out16",#N/A,FALSE,"16";"out17",#N/A,FALSE,"17";"out18",#N/A,FALSE,"18";"out19",#N/A,FALSE,"19";"out20",#N/A,FALSE,"20";"out21",#N/A,FALSE,"21";"out23",#N/A,FALSE,"23";"out24",#N/A,FALSE,"24";"out25",#N/A,FALSE,"25";"out26",#N/A,FALSE,"26";"out27",#N/A,FALSE,"27";"out28",#N/A,FALSE,"28";"out29",#N/A,FALSE,"29";"out30",#N/A,FALSE,"30";"out31",#N/A,FALSE,"31";"out32",#N/A,FALSE,"32";"out33",#N/A,FALSE,"33";"out34",#N/A,FALSE,"34";"out35",#N/A,FALSE,"35";"out36",#N/A,FALSE,"36";"out37",#N/A,FALSE,"37";"out38",#N/A,FALSE,"38";"out39",#N/A,FALSE,"39";"out40",#N/A,FALSE,"40";"out41",#N/A,FALSE,"41";"out42",#N/A,FALSE,"42";"out43",#N/A,FALSE,"43";"out44",#N/A,FALSE,"44";"out45",#N/A,FALSE,"45";"out46",#N/A,FALSE,"46";"out47",#N/A,FALSE,"47";"out48",#N/A,FALSE,"48";"out49",#N/A,FALSE,"49";"out50",#N/A,FALSE,"50";"out51",#N/A,FALSE,"51";"out52",#N/A,FALSE,"52";"out53",#N/A,FALSE,"53";"out54",#N/A,FALSE,"54";"out55",#N/A,FALSE,"55";"out56",#N/A,FALSE,"56";"out57",#N/A,FALSE,"57";"out58",#N/A,FALSE,"58"}</definedName>
    <definedName name="Semiprivate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sencount" hidden="1">2</definedName>
    <definedName name="Sensitivity" hidden="1">{"mgmt forecast",#N/A,FALSE,"Mgmt Forecast";"dcf table",#N/A,FALSE,"Mgmt Forecast";"sensitivity",#N/A,FALSE,"Mgmt Forecast";"table inputs",#N/A,FALSE,"Mgmt Forecast";"calculations",#N/A,FALSE,"Mgmt Forecast"}</definedName>
    <definedName name="sese" hidden="1">{"mgmt forecast",#N/A,FALSE,"Mgmt Forecast";"dcf table",#N/A,FALSE,"Mgmt Forecast";"sensitivity",#N/A,FALSE,"Mgmt Forecast";"table inputs",#N/A,FALSE,"Mgmt Forecast";"calculations",#N/A,FALSE,"Mgmt Forecast"}</definedName>
    <definedName name="sfdaaaaaaaaa" hidden="1">{"Outflow 1",#N/A,FALSE,"Outflows-Inflows";"Outflow 2",#N/A,FALSE,"Outflows-Inflows";"Inflow 1",#N/A,FALSE,"Outflows-Inflows";"Inflow 2",#N/A,FALSE,"Outflows-Inflows"}</definedName>
    <definedName name="sheet2" hidden="1">{"CF",#N/A,FALSE,"Cash Flow";"RET",#N/A,FALSE,"Returns";"NPV",#N/A,FALSE,"Values";"ASMPT",#N/A,FALSE,"Assumptions"}</definedName>
    <definedName name="SheetState" hidden="1">"'2:-1:-1:-1:-1:-1:-1:-1:-1:-1:-1:-1:-1:-1:0:0:0:2"</definedName>
    <definedName name="solver_adj" hidden="1">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2" hidden="1">3</definedName>
    <definedName name="solver_rel3" hidden="1">1</definedName>
    <definedName name="solver_rel4" hidden="1">1</definedName>
    <definedName name="solver_rel5" hidden="1">1</definedName>
    <definedName name="solver_rel6" hidden="1">1</definedName>
    <definedName name="solver_rel7" hidden="1">1</definedName>
    <definedName name="solver_rel8" hidden="1">1</definedName>
    <definedName name="solver_rhs2" hidden="1">2</definedName>
    <definedName name="solver_rhs3" hidden="1">0.5</definedName>
    <definedName name="solver_rhs4" hidden="1">-100000000</definedName>
    <definedName name="solver_rhs5" hidden="1">-100000000</definedName>
    <definedName name="solver_rhs6" hidden="1">-100000000</definedName>
    <definedName name="solver_rhs7" hidden="1">-125000000</definedName>
    <definedName name="solver_rhs8" hidden="1">150000000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1</definedName>
    <definedName name="solver_val" hidden="1">4818</definedName>
    <definedName name="ssm" hidden="1">[24]SSMGLA12!$B$168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ructure" hidden="1">{#N/A,#N/A,FALSE,"SHEET1";#N/A,#N/A,FALSE,"SHEET2";#N/A,#N/A,FALSE,"SHEET3";#N/A,#N/A,FALSE,"SHEET4"}</definedName>
    <definedName name="stupid" hidden="1">{"cap_structure",#N/A,FALSE,"Graph-Mkt Cap";"price",#N/A,FALSE,"Graph-Price";"ebit",#N/A,FALSE,"Graph-EBITDA";"ebitda",#N/A,FALSE,"Graph-EBITDA"}</definedName>
    <definedName name="Swvu.All." hidden="1">#REF!</definedName>
    <definedName name="Swvu.CAM._.RATES." hidden="1">'[17]Min Rent'!#REF!</definedName>
    <definedName name="Swvu.CAM._.RECOVERIES." hidden="1">'[18]SCHEDULE B+C'!$BV$162</definedName>
    <definedName name="Swvu.CAM._.RECOVERY." hidden="1">#REF!</definedName>
    <definedName name="Swvu.CAM._.TABLE." hidden="1">'[18]SCHEDULE B+C'!$BW$210</definedName>
    <definedName name="Swvu.INSURANCE._.RECOVERIES." hidden="1">'[18]SCHEDULE B+C'!$CY$159</definedName>
    <definedName name="Swvu.LSMEET." hidden="1">#REF!</definedName>
    <definedName name="Swvu.MARKETING._.REVENUE." hidden="1">#REF!</definedName>
    <definedName name="Swvu.MINIMUM._.RENT." hidden="1">#REF!</definedName>
    <definedName name="Swvu.OCCUPANCY." hidden="1">#REF!</definedName>
    <definedName name="Swvu.OCCUPANCY._.ANALYSIS." hidden="1">'[18]SCHEDULE B+C'!$BI$168</definedName>
    <definedName name="Swvu.PERCENTAGE._.RENT." hidden="1">#REF!</definedName>
    <definedName name="Swvu.TAX._.RATES." hidden="1">'[17]Min Rent'!#REF!</definedName>
    <definedName name="Swvu.TAX._.RECOVERIES." hidden="1">'[18]SCHEDULE B+C'!$CK$167</definedName>
    <definedName name="Swvu.TAX._.RECOVERY." hidden="1">#REF!</definedName>
    <definedName name="Swvu.WAT." hidden="1">#REF!</definedName>
    <definedName name="t" hidden="1">{#N/A,#N/A,FALSE,"ws investments";#N/A,#N/A,FALSE,"profit";#N/A,#N/A,FALSE,"cash";#N/A,#N/A,FALSE,"puritan";#N/A,#N/A,FALSE,"magellan";#N/A,#N/A,FALSE,"equity";#N/A,#N/A,FALSE,"bond";#N/A,#N/A,FALSE,"int'l";#N/A,#N/A,FALSE,"loan";#N/A,#N/A,FALSE,"clearing";#N/A,#N/A,FALSE,"distrib"}</definedName>
    <definedName name="t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tables" hidden="1">[25]Project!$C$21:$C$21</definedName>
    <definedName name="ted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test" hidden="1">{#N/A,#N/A,TRUE,"Facility-Input";#N/A,#N/A,TRUE,"Graphs";#N/A,#N/A,TRUE,"TOTAL"}</definedName>
    <definedName name="testnig" hidden="1">{#N/A,#N/A,FALSE,"OVERVIEW"}</definedName>
    <definedName name="TLA.004" hidden="1">#REF!</definedName>
    <definedName name="TopRankDefaultDistForRange" hidden="1">0</definedName>
    <definedName name="TopRankDefaultMaxChange" hidden="1">"0,1"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r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ttrrt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r96_96" hidden="1">{#N/A,#N/A,FALSE,"B_Spread"}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mgfvmh" hidden="1">{#N/A,#N/A,TRUE,"toc";#N/A,#N/A,TRUE,"benefits";#N/A,#N/A,TRUE,"TAXCREDITS";#N/A,#N/A,TRUE,"sourcedetail";#N/A,#N/A,TRUE,"finsum";#N/A,#N/A,TRUE,"cash";#N/A,#N/A,TRUE,"tax";#N/A,#N/A,TRUE,"loan2";#N/A,#N/A,TRUE,"loan3";#N/A,#N/A,TRUE,"deprec";#N/A,#N/A,TRUE,"funded";#N/A,#N/A,TRUE,"SALE";#N/A,#N/A,TRUE,"benefits long";#N/A,#N/A,TRUE,"IRR"}</definedName>
    <definedName name="vv" hidden="1">{"mgmt forecast",#N/A,FALSE,"Mgmt Forecast";"dcf table",#N/A,FALSE,"Mgmt Forecast";"sensitivity",#N/A,FALSE,"Mgmt Forecast";"table inputs",#N/A,FALSE,"Mgmt Forecast";"calculations",#N/A,FALSE,"Mgmt Forecast"}</definedName>
    <definedName name="vvv" hidden="1">{"Outflow 1",#N/A,FALSE,"Outflows-Inflows";"Outflow 2",#N/A,FALSE,"Outflows-Inflows";"Inflow 1",#N/A,FALSE,"Outflows-Inflows";"Inflow 2",#N/A,FALSE,"Outflows-Inflows"}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afe" hidden="1">{"summary1",#N/A,TRUE,"Comps";"summary2",#N/A,TRUE,"Comps";"summary3",#N/A,TRUE,"Comps"}</definedName>
    <definedName name="Ward2273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e" hidden="1">{"final",#N/A,FALSE,"Fin. Analysis";"worksheet",#N/A,FALSE,"Fin. Analysis";"notes",#N/A,FALSE,"Fin. Analysis"}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hidden="1">{"summary1",#N/A,TRUE,"Comps";"summary2",#N/A,TRUE,"Comps";"summary3",#N/A,TRUE,"Comps"}</definedName>
    <definedName name="what" hidden="1">{"Page1",#N/A,FALSE,"7979";"Page2",#N/A,FALSE,"7979";"Page3",#N/A,FALSE,"7979"}</definedName>
    <definedName name="whatwhat" hidden="1">{"Page1",#N/A,FALSE,"7979";"Page2",#N/A,FALSE,"7979";"Page3",#N/A,FALSE,"7979"}</definedName>
    <definedName name="wmp" hidden="1">{#N/A,#N/A,FALSE,"ENGINEERING"}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" hidden="1">{#N/A,#N/A,FALSE,"balance";#N/A,#N/A,FALSE,"operations";#N/A,#N/A,FALSE,"partcap";#N/A,#N/A,FALSE,"cashflows"}</definedName>
    <definedName name="wrn.1995._.Analysis." hidden="1">{#N/A,#N/A,FALSE,"1995 Rev &amp; Exp"}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3yr.CF." hidden="1">{"assume",#N/A,FALSE,"K&amp;20th Month CF";"MoCF",#N/A,FALSE,"K&amp;20th Month CF";"AnCF",#N/A,FALSE,"K&amp;20th Month CF"}</definedName>
    <definedName name="wrn.92264." hidden="1">{"Page 1",#N/A,FALSE,"92264 Page 1";"Page 2",#N/A,FALSE,"92264 Page 2";"Page 3",#N/A,FALSE,"92264 Page 3";"Page 4",#N/A,FALSE,"92264 Page 4";"Page 5",#N/A,FALSE,"92264 Page 5";"Page 6",#N/A,FALSE,"92264 Page 6";"Page 7",#N/A,FALSE,"92264 Page 7";"Page 8",#N/A,FALSE,"92264 Page 8"}</definedName>
    <definedName name="wrn.Accretion." hidden="1">{"Accretion",#N/A,FALSE,"Assum"}</definedName>
    <definedName name="wrn.Acquisitions." hidden="1">{"One",#N/A,FALSE,"Acquisitions";"Two",#N/A,FALSE,"Acquisitions"}</definedName>
    <definedName name="wrn.ALL.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_.Consolidations." hidden="1">{#N/A,#N/A,FALSE,"Emmes Services";#N/A,#N/A,FALSE,"Emmes Capital";#N/A,#N/A,FALSE,"Emmes &amp; Co"}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ro._.Forma." hidden="1">{#N/A,#N/A,FALSE,"DSCR Sum";#N/A,#N/A,FALSE,"Max  Allocation";#N/A,#N/A,FALSE,"Lake Davis";#N/A,#N/A,FALSE,"Lake Jennie I";#N/A,#N/A,FALSE,"Lake Jennie II";#N/A,#N/A,FALSE,"Gov Man";#N/A,#N/A,FALSE,"Mellonville";#N/A,#N/A,FALSE,"Total"}</definedName>
    <definedName name="wrn.ALL._.REPORTS._.EXCEPT._.PSF._.TABLES." hidden="1">{"ASSUMPTIONS",#N/A,FALSE,"Assumptions";"NPV",#N/A,FALSE,"npv";"CASH-ANNUAL",#N/A,FALSE,"Cash Financial";"CASH-PSF",#N/A,FALSE,"Cash Financial";"GAAP-ANNUAL",#N/A,FALSE,"Gaap Financial ";"GAAP-PSF",#N/A,FALSE,"Gaap Financial 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chedules._.Inputs._.and._.Worksheets." hidden="1">{#N/A,#N/A,TRUE,"General Inputs";#N/A,#N/A,TRUE,"IDIQ-I";#N/A,#N/A,TRUE,"IDIQ-II";#N/A,#N/A,TRUE,"IDIQ-III";#N/A,#N/A,TRUE,"IDIQ-IV";#N/A,#N/A,TRUE,"IDIQ-V";#N/A,#N/A,TRUE,"IDIQ-VI";#N/A,#N/A,TRUE,"DO-Ia";#N/A,#N/A,TRUE,"DO-Ib";#N/A,#N/A,TRUE,"DO-II";#N/A,#N/A,TRUE,"DO-II Worksheet";#N/A,#N/A,TRUE,"DO-III";#N/A,#N/A,TRUE,"DO-IV";#N/A,#N/A,TRUE,"DO-V";#N/A,#N/A,TRUE,"DO-V Worksheet"}</definedName>
    <definedName name="wrn.ALL._.SHEETS." hidden="1">{#N/A,#N/A,TRUE,"Summary";#N/A,#N/A,TRUE,"1 Westlakes";#N/A,#N/A,TRUE,"3 Westlakes";#N/A,#N/A,TRUE,"5 Westlakes";#N/A,#N/A,TRUE,"Legend";#N/A,#N/A,TRUE,"Utility"}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_Sheets" hidden="1">{#N/A,#N/A,FALSE,"Input";#N/A,#N/A,FALSE,"Assump";#N/A,#N/A,FALSE,"Summary";#N/A,#N/A,FALSE,"Oper Proforma";#N/A,#N/A,FALSE,"Error Check";#N/A,#N/A,FALSE,"Misc Calcs";#N/A,#N/A,FALSE,"ConstPh";#N/A,#N/A,FALSE,"ConstDraw";#N/A,#N/A,FALSE,"Loan";#N/A,#N/A,FALSE,"Absorp";#N/A,#N/A,FALSE,"Land Solver"}</definedName>
    <definedName name="wrn.allWS." hidden="1">{#N/A,#N/A,FALSE,"res. receipts";#N/A,#N/A,FALSE,"incentive mgt fee";#N/A,#N/A,FALSE,"cashflow";#N/A,#N/A,FALSE,"analytics";#N/A,#N/A,FALSE,"trial balance";#N/A,#N/A,FALSE,"partnership mgt fee";#N/A,#N/A,FALSE,"partnership mgt fee"}</definedName>
    <definedName name="wrn.Annual." hidden="1">{"ANNUAL",#N/A,FALSE,"Summary";"ANNUAL",#N/A,FALSE,"Pro Forma";"ANNUAL",#N/A,FALSE,"Equity"}</definedName>
    <definedName name="wrn.Annual._.Report." hidden="1">{"summary",#N/A,FALSE,"Summary";"pro forma annual",#N/A,FALSE,"Pro Forma";"equity annual",#N/A,FALSE,"Equity";"TCC annual",#N/A,FALSE,"TCC"}</definedName>
    <definedName name="wrn.AnnualRentRoll." hidden="1">{"AnnualRentRoll",#N/A,FALSE,"RentRoll"}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rcform1." hidden="1">{"One",#N/A,FALSE,"Property";"Rent Analysis",#N/A,FALSE,"Rent &amp; Income";"Market",#N/A,FALSE,"Market";"Environmental",#N/A,FALSE,"Environmental"}</definedName>
    <definedName name="wrn.Arcform2." hidden="1">{"Development Team",#N/A,FALSE,"Team";"Environmental",#N/A,FALSE,"Environmental";"Permanent",#N/A,FALSE,"Perm Mtg";"Soft",#N/A,FALSE,"Soft Mtg"}</definedName>
    <definedName name="wrn.Arcform3." hidden="1">{"Grant",#N/A,FALSE,"Grant";"GP Developer",#N/A,FALSE,"GP &amp; Dev Loans";"Operating Analysis",#N/A,FALSE,"Operations";"Tax Credit",#N/A,FALSE,"Tax Credits";"Tax Credit Analysis",#N/A,FALSE,"TC Analysis"}</definedName>
    <definedName name="wrn.Arcform4." hidden="1">{"Construction Analysis",#N/A,FALSE,"Constr Analysis";"Construction Financing",#N/A,FALSE,"Constr Finan";"Guarantees and Reserves",#N/A,FALSE,"Guar &amp; Reserves"}</definedName>
    <definedName name="wrn.Asset._.Management." hidden="1">{#N/A,#N/A,FALSE,"ASSET MGMT."}</definedName>
    <definedName name="wrn.Assumptions." hidden="1">{"Assumptions",#N/A,FALSE,"Assum"}</definedName>
    <definedName name="wrn.Atrium." hidden="1">{"Atrium-Investor",#N/A,FALSE,"Atrium";"Atrium-Property",#N/A,FALSE,"Atrium"}</definedName>
    <definedName name="wrn.B._.Spread._.Worksheet._.Summary." hidden="1">{#N/A,#N/A,FALSE,"B_Spread"}</definedName>
    <definedName name="wrn.B._.Spread._.Worksheets._.Detail." hidden="1">{#N/A,#N/A,FALSE,"B_Spread"}</definedName>
    <definedName name="wrn.Balance_Sheet." hidden="1">{"One",#N/A,FALSE,"Balance Sheet"}</definedName>
    <definedName name="wrn.Base." hidden="1">{"base projection",#N/A,FALSE,"Base Case";"base debt",#N/A,FALSE,"Base Case"}</definedName>
    <definedName name="wrn.Base._.plus." hidden="1">{"base plus projection",#N/A,FALSE,"Base with Bsmt &amp; 4%";"base plus debt",#N/A,FALSE,"Base with Bsmt &amp; 4%";"base plus distributions",#N/A,FALSE,"Base with Bsmt &amp; 4%"}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CN._.REVISED." hidden="1">{#N/A,#N/A,FALSE,"Income Statement - Phase II";#N/A,#N/A,FALSE,"Balance Sheet Phase II";#N/A,#N/A,FALSE,"Transaction Costs";#N/A,#N/A,FALSE,"Debt &amp; Equity Detail";#N/A,#N/A,FALSE,"G&amp;A Reduction - 25%";#N/A,#N/A,FALSE,"G&amp;A Reduction - 50%";#N/A,#N/A,FALSE,"G&amp;A Reduction - 75%";#N/A,#N/A,FALSE,"GandA Reduction Detail"}</definedName>
    <definedName name="wrn.BCNPROJ." hidden="1">{#N/A,#N/A,FALSE,"Income Statement";#N/A,#N/A,FALSE,"Balance Sheet";#N/A,#N/A,FALSE,"Sheet5";#N/A,#N/A,FALSE,"Debt &amp; Equity Detail"}</definedName>
    <definedName name="wrn.Binder." hidden="1">{"Summary",#N/A,TRUE,"Summary";"Leasing",#N/A,TRUE,"Lease";"Expenses",#N/A,TRUE,"Lease";"Development",#N/A,TRUE,"Development";"CFlow",#N/A,TRUE,"5 Year"}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fA." hidden="1">{"BofA-Investor",#N/A,FALSE,"BofA Tower";"BofA-Property",#N/A,FALSE,"BofA Tower"}</definedName>
    <definedName name="wrn.Bonds." hidden="1">{#N/A,#N/A,FALSE,"Bonds - Consol";#N/A,#N/A,FALSE,"Bonds - Lakes";#N/A,#N/A,FALSE,"Bonds - Chabot";#N/A,#N/A,FALSE,"Bonds - Diablo"}</definedName>
    <definedName name="wrn.book." hidden="1">{"page1",#N/A,FALSE,"net investor returns";"page2",#N/A,FALSE,"net investor returns"}</definedName>
    <definedName name="wrn.Both._.Outputs." hidden="1">{"LTV Output",#N/A,FALSE,"Output";"DCR Output",#N/A,FALSE,"Output"}</definedName>
    <definedName name="wrn.Bridge." hidden="1">{"Table of Contents",#N/A,FALSE,"Table of Contents";"Senario",#N/A,FALSE,"Senarios";"Assumptions",#N/A,FALSE,"Assumptions";"Capital Schedule",#N/A,FALSE,"Capital Schedule";"Cash Schedule",#N/A,FALSE,"ScheduleCash";"SummaryCash",#N/A,FALSE,"SummaryCash";"FinancingCash",#N/A,FALSE,"FinancingCash";"Bridge Schedule",#N/A,FALSE,"ScheduleFinanced";"SummaryFinanced",#N/A,FALSE,"SummaryFinanced";"FinancingFinanced",#N/A,FALSE,"FinancingFinanced";"Ownership Schedule",#N/A,FALSE,"ScheduleOwner";"SummaryOwner",#N/A,FALSE,"SummaryOwner";"FinancingOwner",#N/A,FALSE,"FinancingOwner"}</definedName>
    <definedName name="wrn.Budget." hidden="1">{"Spread Dollars",#N/A,FALSE,"Budget";"Spread Ratios",#N/A,FALSE,"Budget";"Target Comparison",#N/A,FALSE,"Summary"}</definedName>
    <definedName name="wrn.CAPREIT." hidden="1">{#N/A,#N/A,FALSE,"CAPREIT"}</definedName>
    <definedName name="wrn.CAPREIT2" hidden="1">{#N/A,#N/A,FALSE,"CAPREIT"}</definedName>
    <definedName name="wrn.Cash._.Flow._.Anal.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_Flow." hidden="1">{"One",#N/A,FALSE,"Cash Flow Statement"}</definedName>
    <definedName name="wrn.CDA." hidden="1">{#N/A,#N/A,TRUE,"Comments";#N/A,#N/A,TRUE,"toc";#N/A,#N/A,TRUE,"data1";#N/A,#N/A,TRUE,"financing";#N/A,#N/A,TRUE,"source";#N/A,#N/A,TRUE,"cash";#N/A,#N/A,TRUE,"tax";#N/A,#N/A,TRUE,"ln3";#N/A,#N/A,TRUE,"ln2 (2)";#N/A,#N/A,TRUE,"mht";#N/A,#N/A,TRUE,"cda2";#N/A,#N/A,TRUE,"mtdata1";#N/A,#N/A,TRUE,"mtsource";#N/A,#N/A,TRUE,"mtop";#N/A,#N/A,TRUE,"noi";#N/A,#N/A,TRUE,"base";#N/A,#N/A,TRUE,"mtcash";#N/A,#N/A,TRUE,"mttax";#N/A,#N/A,TRUE,"ti"}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omplete.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ntribution." hidden="1">{#N/A,#N/A,FALSE,"Contribution Analysis"}</definedName>
    <definedName name="wrn.contribution.1" hidden="1">{#N/A,#N/A,FALSE,"Contribution Analysis"}</definedName>
    <definedName name="wrn.Control._.Sheet." hidden="1">{#N/A,#N/A,FALSE,"CONTROL"}</definedName>
    <definedName name="wrn.Corporate." hidden="1">{"One",#N/A,FALSE,"Corporate"}</definedName>
    <definedName name="wrn.cotop." hidden="1">{"ReportTop",#N/A,FALSE,"report top"}</definedName>
    <definedName name="wrn.Credit._.Summary." hidden="1">{#N/A,#N/A,FALSE,"CREDIT"}</definedName>
    <definedName name="wrn.Crossings." hidden="1">{"One",#N/A,FALSE,"Crossings";"Two",#N/A,FALSE,"Crossings";"Three",#N/A,FALSE,"Crossings";"Fous",#N/A,FALSE,"Crossings";"Five",#N/A,FALSE,"Crossings"}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Custom._.View._.Example." hidden="1">{"Custom View Example",#N/A,FALSE,"Sheet1"}</definedName>
    <definedName name="wrn.data." hidden="1">{"data",#N/A,FALSE,"INPUT"}</definedName>
    <definedName name="wrn.data5" hidden="1">{"data",#N/A,FALSE,"INPUT"}</definedName>
    <definedName name="wrn.DATABASE." hidden="1">{"DBINPUT1",#N/A,FALSE,"Database";"DBINPUT2",#N/A,FALSE,"Database"}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R._.Output." hidden="1">{"DCR Output",#N/A,FALSE,"Output"}</definedName>
    <definedName name="wrn.Delivery._.Order._.Schedules." hidden="1">{#N/A,#N/A,TRUE,"DO-Ia";#N/A,#N/A,TRUE,"DO-Ib";#N/A,#N/A,TRUE,"DO-II";#N/A,#N/A,TRUE,"DO-III";#N/A,#N/A,TRUE,"DO-IV";#N/A,#N/A,TRUE,"DO-V"}</definedName>
    <definedName name="wrn.Depreciation." hidden="1">{"One",#N/A,FALSE,"Depreciation"}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hidden="1">{"Return Analysis - Leveraged",#N/A,FALSE,"Return Analysis - Leveraged"}</definedName>
    <definedName name="wrn.Development._.Budget." hidden="1">{"Year 1",#N/A,FALSE,"Budget";"Year 2",#N/A,FALSE,"Budget";"Year 3",#N/A,FALSE,"Budget";"Year 4",#N/A,FALSE,"Budget"}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CL_DATA." hidden="1">{"ENCL_DATA",#N/A,FALSE,"ENCL"}</definedName>
    <definedName name="wrn.Engineering." hidden="1">{#N/A,#N/A,FALSE,"ENGINEERING"}</definedName>
    <definedName name="wrn.Entire._.Package." hidden="1">{"Summary",#N/A,FALSE,"Assumptions";"Development 1 2",#N/A,FALSE,"Budget";"Operating Income",#N/A,FALSE,"Budget"}</definedName>
    <definedName name="wrn.Entry._.Grids." hidden="1">{#N/A,#N/A,FALSE,"Services JE Grid";#N/A,#N/A,FALSE,"Emmes JE Grid";#N/A,#N/A,FALSE,"Capital JE Grid "}</definedName>
    <definedName name="wrn.Environmental." hidden="1">{#N/A,#N/A,FALSE,"ENVIRONMENTAL"}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._.Summary." hidden="1">{#N/A,#N/A,FALSE,"Index"}</definedName>
    <definedName name="wrn.Exhibits." hidden="1">{#N/A,#N/A,FALSE,"Historical";#N/A,#N/A,FALSE,"Adjusted";#N/A,#N/A,FALSE,"CAM Alloc.";#N/A,#N/A,FALSE,"Projected CAM"}</definedName>
    <definedName name="wrn.ExitAndSalesAssumptions." hidden="1">{#N/A,#N/A,FALSE,"ExitStratigy"}</definedName>
    <definedName name="wrn.FCB." hidden="1">{"FCB_ALL",#N/A,FALSE,"FCB"}</definedName>
    <definedName name="wrn.fcb2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nal." hidden="1">{"print",#N/A,TRUE,"jec1";"print",#N/A,TRUE,"jec2";"print",#N/A,TRUE,"jec3";"print",#N/A,TRUE,"jec4";"print",#N/A,TRUE,"jec5";"print",#N/A,TRUE,"jec6";"print",#N/A,TRUE,"jec7";"print",#N/A,TRUE,"jec8";"print",#N/A,TRUE,"jec9";"print",#N/A,TRUE,"jec10";"print",#N/A,TRUE,"jec11";"print",#N/A,TRUE,"jec12";"print",#N/A,TRUE,"jec13";"print",#N/A,TRUE,"jec14";"print",#N/A,TRUE,"jec15";"print",#N/A,TRUE,"jec16";"print",#N/A,TRUE,"jec17";"print",#N/A,TRUE,"jec18"}</definedName>
    <definedName name="wrn.FinalMort.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rn.Financial._.Reports." hidden="1">{#N/A,#N/A,FALSE,"Overview";#N/A,#N/A,FALSE,"santafe";#N/A,#N/A,FALSE,"noble";#N/A,#N/A,FALSE,"Combined Results";#N/A,#N/A,FALSE,"Earnings"}</definedName>
    <definedName name="wrn.Financial._.Statements." hidden="1">{#N/A,#N/A,FALSE,"balance";#N/A,#N/A,FALSE,"operations ";#N/A,#N/A,FALSE,"capital";#N/A,#N/A,FALSE,"cashflw";#N/A,#N/A,FALSE,"SCHEDULE I "}</definedName>
    <definedName name="wrn.financials." hidden="1">{#N/A,#N/A,FALSE,"balance";#N/A,#N/A,FALSE,"operations";#N/A,#N/A,FALSE,"partcap";#N/A,#N/A,FALSE,"cashflows"}</definedName>
    <definedName name="wrn.Financing." hidden="1">{"One",#N/A,FALSE,"Financing";"Two",#N/A,FALSE,"Financing";"Three",#N/A,FALSE,"Financing";"Four",#N/A,FALSE,"Financing"}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leet." hidden="1">{"FleetDetailsNE",#N/A,FALSE,"NEForecast"}</definedName>
    <definedName name="wrn.FORECAST._.ONLY." hidden="1">{"SourceUse",#N/A,FALSE,"S &amp; U";"Pricing","Normal",FALSE,"Pricing";"Fund Flow",#N/A,FALSE,"Fund Flow";"Rent","Normal",FALSE,"Rent,Exp";"Operating Exp",#N/A,FALSE,"Oper Exp";"Net Operating Income",#N/A,FALSE,"NOI";"Cashflow",#N/A,FALSE,"C Flow";"Net Income",#N/A,FALSE,"Net Incm";"Benefit Schedule",#N/A,FALSE,"Benefits";"Min Gain",#N/A,FALSE,"Min Gain";"Devt Fee",#N/A,FALSE,"Devt Fee";"Mort 1",#N/A,FALSE,"Mort 1";"RP Depr",#N/A,FALSE,"RP Depr";"PP Amort",#N/A,FALSE,"PP Amort";"RR Depr",#N/A,FALSE,"RR Depr";"Debt Analysis",#N/A,FALSE,"Debt Anal"}</definedName>
    <definedName name="wrn.FOschedules." hidden="1">{"FOschedule1",#N/A,FALSE,"Sheet1";"FOschedule2",#N/A,FALSE,"Sheet1";"FOschedule3",#N/A,FALSE,"Sheet1"}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Page._.Summary." hidden="1">{#N/A,#N/A,FALSE,"Loan Summary";#N/A,#N/A,FALSE,"Development Analysis";#N/A,#N/A,FALSE,"Market Analysis";#N/A,#N/A,FALSE,"Pro Forma Analysis"}</definedName>
    <definedName name="wrn.FSworksheets." hidden="1">{#N/A,#N/A,FALSE,"trial balance";#N/A,#N/A,FALSE,"cashflow"}</definedName>
    <definedName name="wrn.Full." hidden="1">{#N/A,#N/A,FALSE,"NOI";#N/A,#N/A,FALSE,"Income Sum";#N/A,#N/A,FALSE,"Income Comp";#N/A,#N/A,FALSE,"Income Sundry";#N/A,#N/A,FALSE,"Income Rent";#N/A,#N/A,FALSE,"Opex";#N/A,#N/A,FALSE,"Opex Comparison";#N/A,#N/A,FALSE,"Mngrfees";#N/A,#N/A,FALSE,"Maint Fund - Exp";#N/A,#N/A,FALSE,"Maint Fund";#N/A,#N/A,FALSE,"Opex %";#N/A,#N/A,FALSE,"Recover Comp";#N/A,#N/A,FALSE,"Recover Sum";#N/A,#N/A,FALSE,"R.O. B";#N/A,#N/A,FALSE,"Recover 1Pg";#N/A,#N/A,FALSE,"Non Rec Comp";#N/A,#N/A,FALSE,"Non Recover";#N/A,#N/A,FALSE,"Bdgt Summary";#N/A,#N/A,FALSE,"Capex Comp";#N/A,#N/A,FALSE,"Capex Sum";#N/A,#N/A,FALSE,"Capex"}</definedName>
    <definedName name="wrn.Full._.package." hidden="1">{#N/A,#N/A,FALSE,"Emmes Summary";#N/A,#N/A,FALSE,"Services Summary";#N/A,#N/A,FALSE,"Emmes All";#N/A,#N/A,FALSE,"Master Services";#N/A,#N/A,FALSE,"Emmes &amp; Co";#N/A,#N/A,FALSE,"Emmes JE Grid";#N/A,#N/A,FALSE,"Emmes  Entries";#N/A,#N/A,FALSE,"Emmes Services";#N/A,#N/A,FALSE,"Services JE Grid";#N/A,#N/A,FALSE,"Services Entries";#N/A,#N/A,FALSE,"Emmes Capital";#N/A,#N/A,FALSE,"Capital JE Grid ";#N/A,#N/A,FALSE,"Capital  Entries";#N/A,#N/A,FALSE,"Emmes Invest in LLC"}</definedName>
    <definedName name="wrn.Full._.Report.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_Template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Schedule";#N/A,#N/A,FALSE,"13Residual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funds." hidden="1">{#N/A,#N/A,FALSE,"ws investments";#N/A,#N/A,FALSE,"profit";#N/A,#N/A,FALSE,"cash";#N/A,#N/A,FALSE,"puritan";#N/A,#N/A,FALSE,"magellan";#N/A,#N/A,FALSE,"equity";#N/A,#N/A,FALSE,"bond";#N/A,#N/A,FALSE,"int'l";#N/A,#N/A,FALSE,"loan";#N/A,#N/A,FALSE,"clearing";#N/A,#N/A,FALSE,"distrib"}</definedName>
    <definedName name="wrn.Garage." hidden="1">{#N/A,#N/A,FALSE,"Garage Assumpt 1";#N/A,#N/A,FALSE,"Garage Op Proj";#N/A,#N/A,FALSE,"Hist I&amp;E";#N/A,#N/A,FALSE,"Garage Lease"}</definedName>
    <definedName name="wrn.General." hidden="1">{"Balance",#N/A,FALSE,"General Assumptions";"Cost",#N/A,FALSE,"General Assumptions";"Working",#N/A,FALSE,"General Assumptions"}</definedName>
    <definedName name="wrn.General._.Information." hidden="1">{#N/A,#N/A,FALSE,"Input 2 - Sources of Funds"}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Hightower." hidden="1">{"Hightower-Investor",#N/A,FALSE,"Hightower";"Hightower-Property",#N/A,FALSE,"Hightower"}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istory._.Proforma." hidden="1">{"History &amp; Projection",#N/A,FALSE,"History - Proforma"}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IDIQ._.Schedules." hidden="1">{#N/A,#N/A,TRUE,"IDIQ-I";#N/A,#N/A,TRUE,"IDIQ-II";#N/A,#N/A,TRUE,"IDIQ-III";#N/A,#N/A,TRUE,"IDIQ-IV";#N/A,#N/A,TRUE,"IDIQ-V";#N/A,#N/A,TRUE,"IDIQ-VI"}</definedName>
    <definedName name="wrn.III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ncome._.Statements." hidden="1">{"Annual Income",#N/A,FALSE,"Revenues";"Quarter Income",#N/A,FALSE,"Revenues"}</definedName>
    <definedName name="wrn.Income_Statement." hidden="1">{"One",#N/A,FALSE,"Income Statement";"Two",#N/A,FALSE,"Income Statement";"Three",#N/A,FALSE,"Income Statement";"Four",#N/A,FALSE,"Income Statement"}</definedName>
    <definedName name="wrn.Index." hidden="1">{#N/A,#N/A,FALSE,"INDEX"}</definedName>
    <definedName name="wrn.INPUT._.INFO." hidden="1">{"Input",#N/A,FALSE,"INPUT"}</definedName>
    <definedName name="wrn.Inputs." hidden="1">{#N/A,#N/A,FALSE,"Input"}</definedName>
    <definedName name="wrn.Inputs._.and._.Worksheets." hidden="1">{#N/A,#N/A,TRUE,"General Inputs";#N/A,#N/A,TRUE,"DO-II Worksheet";#N/A,#N/A,TRUE,"DO-V Worksheet"}</definedName>
    <definedName name="wrn.Internal._.Detail." hidden="1">{"IntDetail",#N/A,FALSE,"Reports";"IntSummary",#N/A,FALSE,"Reports"}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hidden="1">{"Preferred Equity IRR",#N/A,FALSE,"PROFORMA";"GP Cash Flow and IRR",#N/A,FALSE,"PROFORMA"}</definedName>
    <definedName name="wrn.IRR." hidden="1">{"IRR Benefits",#N/A,FALSE,"IRR";"Tax Credits",#N/A,FALSE,"IRR"}</definedName>
    <definedName name="wrn.IRR._.CORP._.7." hidden="1">{"IRR",#N/A,FALSE,"Corp 7 IRR";"Input",#N/A,FALSE,"Corp 7 IRR"}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hidden="1">{"One",#N/A,FALSE,"JV"}</definedName>
    <definedName name="wrn.Lease._.Rollover." hidden="1">{#N/A,#N/A,FALSE,"Lease Rollover"}</definedName>
    <definedName name="wrn.Lease._.Rpts." hidden="1">{"Lease1",#N/A,FALSE,"Lease";"Lease2",#N/A,FALSE,"Lease";"Lease3",#N/A,FALSE,"Lease";"Dev Costs",#N/A,FALSE,"Development"}</definedName>
    <definedName name="wrn.Leases." hidden="1">{#N/A,#N/A,FALSE,"Leases"}</definedName>
    <definedName name="wrn.Leasing._.Variance." hidden="1">{#N/A,#N/A,FALSE,"Leasing 6A"}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hidden="1">{"Loan Summary",#N/A,FALSE,"Phase 1 loan &amp; data"}</definedName>
    <definedName name="wrn.LoanInformation." hidden="1">{#N/A,#N/A,FALSE,"LoanAssumptions"}</definedName>
    <definedName name="wrn.Lower._.Tier._.Analysis." hidden="1">{#N/A,#N/A,FALSE,"Summary";#N/A,#N/A,FALSE,"Sources and Uses";#N/A,#N/A,FALSE,"Qualified Basis";#N/A,#N/A,FALSE,"Rent and Unit Mix";#N/A,#N/A,FALSE,"Stabilized";#N/A,#N/A,FALSE,"Proforma Operations";#N/A,#N/A,FALSE,"Lease-Up";#N/A,#N/A,FALSE,"Tax Credit Analysis";#N/A,#N/A,FALSE,"Buyer's IRR";#N/A,#N/A,FALSE,"EP&amp;TCS";#N/A,#N/A,FALSE,"Min. Gain Calc."}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hidden="1">{"LTV Output",#N/A,FALSE,"Output"}</definedName>
    <definedName name="wrn.Market._.Values." hidden="1">{#N/A,#N/A,TRUE,"10 Yr Hold";#N/A,#N/A,TRUE,"7 Yr Hold";#N/A,#N/A,TRUE,"5 Yr Hold";#N/A,#N/A,TRUE,"3 Yr Hold"}</definedName>
    <definedName name="wrn.MARKETING." hidden="1">{#N/A,#N/A,FALSE,"MARKETING I";#N/A,#N/A,FALSE,"MARKETING II";#N/A,#N/A,FALSE,"MARKETING III"}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iniSum." hidden="1">{#N/A,#N/A,TRUE,"Facility-Input";#N/A,#N/A,TRUE,"Graphs";#N/A,#N/A,TRUE,"TOTAL"}</definedName>
    <definedName name="wrn.minrenn" hidden="1">{"MINRENT2",#N/A,FALSE,"SCHEDULE B"}</definedName>
    <definedName name="wrn.MINRENT." hidden="1">{"MINRENT2",#N/A,FALSE,"SCHEDULE B"}</definedName>
    <definedName name="wrn.minrent.2" hidden="1">{"MINRENT2",#N/A,FALSE,"SCHEDULE B"}</definedName>
    <definedName name="wrn.mkting" hidden="1">{#N/A,#N/A,FALSE,"MARKETING I";#N/A,#N/A,FALSE,"MARKETING II";#N/A,#N/A,FALSE,"MARKETING III"}</definedName>
    <definedName name="wrn.model." hidden="1">{"years",#N/A,FALSE,"UDR_INC";"9899qtrs",#N/A,FALSE,"UDR_INC";"9798qtrs",#N/A,FALSE,"UDR_INC"}</definedName>
    <definedName name="wrn.model2." hidden="1">{"Investor",#N/A,FALSE,"Model";"Property",#N/A,FALSE,"Model";"Incentive Taxes",#N/A,FALSE,"Model"}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hidden="1">{"MONTHLY",#N/A,FALSE,"Pro Forma";"MONTHLY",#N/A,FALSE,"Equity"}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hidden="1">{"pro forma monthly",#N/A,FALSE,"Pro Forma";"equity monthly",#N/A,FALSE,"Equity";"TCC monthly",#N/A,FALSE,"TCC"}</definedName>
    <definedName name="wrn.MonthlyRentRoll." hidden="1">{"MonthlyRentRoll",#N/A,FALSE,"RentRoll"}</definedName>
    <definedName name="wrn.Mortgage._.Loan._.Sch." hidden="1">{#N/A,#N/A,FALSE,"Mortgage Loan Sch"}</definedName>
    <definedName name="wrn.My._.estimate._.report." hidden="1">{"Equipment",#N/A,FALSE,"A";"Summary",#N/A,FALSE,"B"}</definedName>
    <definedName name="wrn.New_Business." hidden="1">{"One",#N/A,FALSE,"New Business"}</definedName>
    <definedName name="wrn.newoutput" hidden="1">{"DCF","UPSIDE CASE",FALSE,"Sheet1";"DCF","BASE CASE",FALSE,"Sheet1";"DCF","DOWNSIDE CASE",FALSE,"Sheet1"}</definedName>
    <definedName name="wrn.Northstar." hidden="1">{#N/A,#N/A,FALSE,"Services Summary";#N/A,#N/A,FALSE,"Emmes Summary";#N/A,#N/A,FALSE,"Northstar"}</definedName>
    <definedName name="wrn.ODP._.DATA." hidden="1">{"ODP DATA",#N/A,FALSE,"ODP"}</definedName>
    <definedName name="wrn.ODP._.SUMMARY." hidden="1">{"ODP SUM",#N/A,FALSE,"ODP"}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peratingAssumtions.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UTPUT." hidden="1">{"DCF","UPSIDE CASE",FALSE,"Sheet1";"DCF","BASE CASE",FALSE,"Sheet1";"DCF","DOWNSIDE CASE",FALSE,"Sheet1"}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ackage." hidden="1">{#N/A,#N/A,FALSE,"cover";#N/A,#N/A,FALSE,"SUMMARY";#N/A,#N/A,FALSE,"DEBT SUMMARY"}</definedName>
    <definedName name="wrn.Palms._.at._.South._.Shore." hidden="1">{#N/A,#N/A,FALSE,"loananalysis";#N/A,#N/A,FALSE,"proforma";#N/A,#N/A,FALSE,"unitmix"}</definedName>
    <definedName name="wrn.Partial." hidden="1">{#N/A,#N/A,FALSE,"Assumptions";#N/A,#N/A,FALSE,"Year One Pro Forma";#N/A,#N/A,FALSE,"Rent Roll Summary";#N/A,#N/A,FALSE,"Market Rent Detail";#N/A,#N/A,FALSE,"Rent Roll Summary";#N/A,#N/A,FALSE,"Market Rent Increases";#N/A,#N/A,FALSE,"Exec Sum 10Yr";#N/A,#N/A,FALSE,"Cash Flow Projections";#N/A,#N/A,FALSE,"Net Residual Value";#N/A,#N/A,FALSE,"Effective Rental Income Detail";#N/A,#N/A,FALSE,"Turnovers";#N/A,#N/A,FALSE,"Matrices"}</definedName>
    <definedName name="wrn.Pavilion." hidden="1">{"Pavilion-Investor",#N/A,FALSE,"Pavilion";"Pavilion-Property",#N/A,FALSE,"Pavilion"}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tfolio." hidden="1">{"Portfolio-Investor",#N/A,FALSE,"Portfolio";"Portfolio-Property",#N/A,FALSE,"Portfolio"}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cntrent" hidden="1">{"PERCENTAGE RENT",#N/A,TRUE,"SCHEDULE B"}</definedName>
    <definedName name="wrn.prentiws." hidden="1">{#N/A,#N/A,FALSE,"equity";#N/A,#N/A,FALSE,"cashflow";#N/A,#N/A,FALSE,"analytics";#N/A,#N/A,FALSE,"trial_bal"}</definedName>
    <definedName name="wrn.Presentation.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nt." hidden="1">{"View1",#N/A,FALSE,"Sheet1";"View2",#N/A,FALSE,"Sheet1"}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hidden="1">{"cap_structure",#N/A,FALSE,"Graph-Mkt Cap";"price",#N/A,FALSE,"Graph-Price";"ebit",#N/A,FALSE,"Graph-EBITDA";"ebitda",#N/A,FALSE,"Graph-EBITDA"}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2.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All." hidden="1">{#N/A,#N/A,FALSE,"Broker Sheet";#N/A,#N/A,FALSE,"Exec.Summary";#N/A,#N/A,FALSE,"Argus Cash Flow";#N/A,#N/A,FALSE,"SPF";#N/A,#N/A,FALSE,"RentRoll"}</definedName>
    <definedName name="wrn.Printing._.the._.Model." hidden="1">{#N/A,#N/A,FALSE,"General Assumptions";#N/A,#N/A,FALSE,"Summary of Results";#N/A,#N/A,FALSE,"Waterfall - LFSRI";#N/A,#N/A,FALSE,"Sources &amp; Uses - Output";#N/A,#N/A,FALSE,"Existing Portfolio";#N/A,#N/A,FALSE,"1996 Development Schedule";#N/A,#N/A,FALSE,"New Development";#N/A,#N/A,FALSE,"New Acquisitions";#N/A,#N/A,FALSE,"Land Inventory";#N/A,#N/A,FALSE,"Balance Sheet Dec. 1996";#N/A,#N/A,FALSE,"Balance Sheet - Projected";#N/A,#N/A,FALSE,"Total Cash Flow -- Model";#N/A,#N/A,FALSE,"Total Cash Flow -- Output"}</definedName>
    <definedName name="wrn.Printout." hidden="1">{#N/A,#N/A,FALSE,"Check Sheet";#N/A,#N/A,FALSE,"Summary";#N/A,#N/A,FALSE,"Property Input";#N/A,#N/A,FALSE,"Financing Input";#N/A,#N/A,FALSE,"Syndication Input";#N/A,#N/A,FALSE,"Assumptions";#N/A,#N/A,FALSE,"TOC";#N/A,#N/A,FALSE,"General Info";#N/A,#N/A,FALSE,"Financing";#N/A,#N/A,FALSE,"Syndication";"INCOME",#N/A,FALSE,"Income &amp; Expense";#N/A,#N/A,FALSE,"Rent Schedule";"CASH",#N/A,FALSE,"Cash Flow";#N/A,#N/A,FALSE,"Taxable";#N/A,#N/A,FALSE,"Loss per Investor";#N/A,#N/A,FALSE,"Sale Benefit";#N/A,#N/A,FALSE,"Sale Results";#N/A,#N/A,FALSE,"Sale Appreciation";#N/A,#N/A,FALSE,"Source &amp; Use";#N/A,#N/A,FALSE,"Flow of Funds";#N/A,#N/A,FALSE,"Dep Schedule";#N/A,#N/A,FALSE,"Tax Pref";"mort",#N/A,FALSE,"Mortgage 1";"amort2",#N/A,FALSE,"Mortgage 2";"acc1",#N/A,FALSE,"Accrual";"ACC2",#N/A,FALSE,"Accrual";#N/A,#N/A,FALSE,"Funded Exp";#N/A,#N/A,FALSE,"Tax Credit";#N/A,#N/A,FALSE,"IRR";"_704b",#N/A,FALSE,"704(b) ";#N/A,#N/A,FALSE,"Minimum Gain";"_7A",#N/A,FALSE,"704(b) Reallocation";"_7B",#N/A,FALSE,"704(b) Reallocation"}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hidden="1">{"Proforma - Dollars",#N/A,FALSE,"Proforma"}</definedName>
    <definedName name="wrn.Proforma._.Review." hidden="1">{#N/A,#N/A,FALSE,"Occ and Rate";#N/A,#N/A,FALSE,"PF Input";#N/A,#N/A,FALSE,"Proforma Five Yr";#N/A,#N/A,FALSE,"Hotcomps"}</definedName>
    <definedName name="wrn.Program._.Compliance." hidden="1">{#N/A,#N/A,FALSE,"COMPLIANCE"}</definedName>
    <definedName name="wrn.proj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rojection." hidden="1">{#N/A,#N/A,TRUE,"TOC";#N/A,#N/A,TRUE,"GEN";#N/A,#N/A,TRUE,"FINANCING ";#N/A,#N/A,TRUE,"SYND";#N/A,#N/A,TRUE,"RENT";#N/A,#N/A,TRUE,"RENTUP";#N/A,#N/A,TRUE,"CASH";#N/A,#N/A,TRUE,"LOSS";#N/A,#N/A,TRUE,"BENEFITS";#N/A,#N/A,TRUE,"SOURCE";#N/A,#N/A,TRUE,"FLOW";#N/A,#N/A,TRUE,"TAX CREDIT";#N/A,#N/A,TRUE,"DEPREC";#N/A,#N/A,TRUE,"RESERVES";#N/A,#N/A,TRUE,"AMORT_4";#N/A,#N/A,TRUE,"UT SU ";#N/A,#N/A,TRUE,"UT FLOW";#N/A,#N/A,TRUE,"UT BRIDGE LOAN";#N/A,#N/A,TRUE,"UT LOSS";#N/A,#N/A,TRUE,"UT BENEFITS";#N/A,#N/A,TRUE,"UT FUNDED";#N/A,#N/A,TRUE,"SALES1";#N/A,#N/A,TRUE,"SALES2"}</definedName>
    <definedName name="wrn.Property._.Description." hidden="1">{#N/A,#N/A,FALSE,"PROP. DESCRIPTION"}</definedName>
    <definedName name="wrn.PropertyInformation." hidden="1">{#N/A,#N/A,FALSE,"PropertyInfo"}</definedName>
    <definedName name="wrn.Prototypes." hidden="1">{"One",#N/A,FALSE,"Prototypes";"Two",#N/A,FALSE,"Prototypes";"Three",#N/A,FALSE,"Prototypes";"Four",#N/A,FALSE,"Prototypes";"Five",#N/A,FALSE,"Prototypes"}</definedName>
    <definedName name="wrn.QUICK." hidden="1">{"ASSUMPTIONS",#N/A,FALSE,"ASSUMPTIONS";"SOURCE USE",#N/A,FALSE,"SOURCE &amp; USE";"COMPLETION LEASEUP",#N/A,FALSE,"CO's &amp; LEASE-UP";"TAX CREDITS",#N/A,FALSE,"TAX CREDITS";"BASE NOI",#N/A,FALSE,"BASE NOI";"PROJECTED NOI",#N/A,FALSE,"PROJECTED NOI";"AMORTIZATION DEPREC",#N/A,FALSE,"AMORT &amp; DEPREC";"PROJECTED CASHFLOW",#N/A,FALSE,"CASH";"CAPITAL ACCT",#N/A,FALSE,"CAPITAL ACCOUNT";"TAXABLE INCOME",#N/A,FALSE,"TAXABLE";"ANNUAL BENEFITS",#N/A,FALSE,"ANNUAL BENEFITS";"QIRR ONE",#N/A,FALSE,"QIRR";"QIRR TWO",#N/A,FALSE,"QIRR"}</definedName>
    <definedName name="wrn.Rapport." hidden="1">{#N/A,#N/A,FALSE,"SHEET1";#N/A,#N/A,FALSE,"SHEET2";#N/A,#N/A,FALSE,"SHEET3";#N/A,#N/A,FALSE,"SHEET4"}</definedName>
    <definedName name="wrn.rate.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covery._.Calcs." hidden="1">{#N/A,#N/A,FALSE,"Recovery Calcs"}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nt._.Roll." hidden="1">{#N/A,#N/A,FALSE,"Rent Roll"}</definedName>
    <definedName name="wrn.Repayments." hidden="1">{"One",#N/A,FALSE,"Repayments";"Two",#N/A,FALSE,"Repayments"}</definedName>
    <definedName name="wrn.Report." hidden="1">{#N/A,#N/A,FALSE,"Loan Summary";#N/A,#N/A,FALSE,"NOI";"RR and Expir",#N/A,FALSE,"Rental";"Sales History",#N/A,FALSE,"Rental";#N/A,#N/A,FALSE,"Reserves"}</definedName>
    <definedName name="wrn.REPORT._.FOR._.CCA." hidden="1">{"CCA",#N/A,FALSE,"INPUT";"Pricing","CCA",FALSE,"Pricing";"Rent","CCA",FALSE,"Rent,Exp";"Fund Flow",#N/A,FALSE,"Fund Flow"}</definedName>
    <definedName name="wrn.REPORT._.FOR._.FA." hidden="1">{"Report for FA","FA",FALSE,"Benefits"}</definedName>
    <definedName name="wrn.REPORT._.FOR._.LUS." hidden="1">{#N/A,#N/A,FALSE,"LeaseData";"Rent",#N/A,FALSE,"Rent,Exp"}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isk._.Reserves." hidden="1">{#N/A,#N/A,TRUE,"Reserves";#N/A,#N/A,TRUE,"Graphs"}</definedName>
    <definedName name="wrn.Roll_Out." hidden="1">{"One",#N/A,FALSE,"Roll-out";"Two",#N/A,FALSE,"Roll-out";"Three",#N/A,FALSE,"Roll-out";"Four",#N/A,FALSE,"Roll-out";"Five",#N/A,FALSE,"Roll-out"}</definedName>
    <definedName name="wrn.rollup." hidden="1">{"page1",#N/A,FALSE,"rollup"}</definedName>
    <definedName name="wrn.savings." hidden="1">{#N/A,#N/A,FALSE,"FY97P1";#N/A,#N/A,FALSE,"FY97Z312";#N/A,#N/A,FALSE,"FY97LRBC";#N/A,#N/A,FALSE,"FY97O";#N/A,#N/A,FALSE,"FY97DAM"}</definedName>
    <definedName name="wrn.SCHAs.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hort." hidden="1">{#N/A,#N/A,FALSE,"ExecutiveSummary";#N/A,#N/A,FALSE,"CostDetail";#N/A,#N/A,FALSE,"IncomeDetail"}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napshot." hidden="1">{#N/A,#N/A,TRUE,"Facility-Input";#N/A,#N/A,TRUE,"Graphs"}</definedName>
    <definedName name="wrn.SouthTrust." hidden="1">{"SouthTrust-Investor",#N/A,FALSE,"SouthTrust";"SouthTrust-Property",#N/A,FALSE,"SouthTrust"}</definedName>
    <definedName name="wrn.STAND_ALONE_BOTH." hidden="1">{"FCB_ALL",#N/A,FALSE,"FCB";"GREY_ALL",#N/A,FALSE,"GREY"}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rengths._.Weaknesses." hidden="1">{#N/A,#N/A,FALSE,"Strengths &amp; Weaknesses"}</definedName>
    <definedName name="wrn.Submittal._.Reconciliation._.Schedule." hidden="1">{"Submittable Reconciliation Schedule",#N/A,FALSE,"Reconciliation";"GSCP2 PCS 30 Day",#N/A,FALSE,"GSCP2 PCS 30 Day Activity List"}</definedName>
    <definedName name="wrn.Sugar." hidden="1">{"Sugar-Investor",#N/A,FALSE,"Sugar";"Sugar-Property",#N/A,FALSE,"Sugar"}</definedName>
    <definedName name="wrn.Sum." hidden="1">{#N/A,#N/A,FALSE,"NOI";#N/A,#N/A,FALSE,"Income Comp";#N/A,#N/A,FALSE,"Income Rent";#N/A,#N/A,FALSE,"Opex Comparison";#N/A,#N/A,FALSE,"Mngrfees";#N/A,#N/A,FALSE,"Maint Fund - Exp";#N/A,#N/A,FALSE,"Maint Fund";#N/A,#N/A,FALSE,"Recover Comp";#N/A,#N/A,FALSE,"Non Rec Comp";#N/A,#N/A,FALSE,"Capex Comp";#N/A,#N/A,FALSE,"Capex"}</definedName>
    <definedName name="wrn.Summary." hidden="1">{"All",#N/A,FALSE,"IS-CF";"All",#N/A,FALSE,"CommitedRev";"All",#N/A,FALSE,"OE";"All",#N/A,FALSE,"Invest";"All",#N/A,FALSE,"BS";"All",#N/A,FALSE,"Value"}</definedName>
    <definedName name="wrn.Summary._.Excluding._.DHC." hidden="1">{"Summary Excluding DHC",#N/A,FALSE,"SUMMARY"}</definedName>
    <definedName name="wrn.Summary._.Including._.DHC." hidden="1">{"Summary Including DHC",#N/A,FALSE,"SUMMARY"}</definedName>
    <definedName name="wrn.Summary._.Overview." hidden="1">{#N/A,#N/A,FALSE,"OVERVIEW"}</definedName>
    <definedName name="wrn.Summary._.Schedule." hidden="1">{#N/A,#N/A,FALSE,"Smry1";#N/A,#N/A,FALSE,"Smry2";#N/A,#N/A,FALSE,"Finance Cash Flow"}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N1." hidden="1">{#N/A,#N/A,FALSE,"Assumptions";#N/A,#N/A,FALSE,"office";#N/A,#N/A,FALSE,"monthly"}</definedName>
    <definedName name="wrn.Target._.Comparison." hidden="1">{"Target Comparison",#N/A,FALSE,"Summary"}</definedName>
    <definedName name="wrn.tax._.up." hidden="1">{"tax up projection",#N/A,FALSE,"Taxes up 50%";"tax up debt",#N/A,FALSE,"Taxes up 50%";"tax up distributions",#N/A,FALSE,"Taxes up 50%"}</definedName>
    <definedName name="wrn.Taxes._.Title._.Insurance." hidden="1">{#N/A,#N/A,FALSE,"Taxes, Insurance, Title"}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cy._.Full._.cash._.Flow." hidden="1">{"tenancy detail",#N/A,FALSE,"Tenancies";"years1_2",#N/A,FALSE,"Tenancies";"years3_4",#N/A,FALSE,"Tenancies"}</definedName>
    <definedName name="wrn.Tenants." hidden="1">{#N/A,#N/A,FALSE,"TENANTS"}</definedName>
    <definedName name="wrn.TEST." hidden="1">{#N/A,#N/A,FALSE,"SCHEDULE G"}</definedName>
    <definedName name="wrn.The._.Rock." hidden="1">{"1",#N/A,TRUE,"1";"2",#N/A,TRUE,"2";"3",#N/A,TRUE,"3";"4",#N/A,TRUE,"4";"5",#N/A,TRUE,"5";"6",#N/A,TRUE,"6";"7",#N/A,TRUE,"7";"8",#N/A,TRUE,"8";"9",#N/A,TRUE,"9";"10",#N/A,TRUE,"10";"11",#N/A,TRUE,"11";"12",#N/A,TRUE,"12";"13",#N/A,TRUE,"13";"14",#N/A,TRUE,"14";"15",#N/A,TRUE,"15";"16",#N/A,TRUE,"16";"17",#N/A,TRUE,"17";"18",#N/A,TRUE,"18";"19",#N/A,TRUE,"19";"20",#N/A,TRUE,"20";"21",#N/A,TRUE,"21";"22",#N/A,TRUE,"22";"23",#N/A,TRUE,"23";"24",#N/A,TRUE,"24";"25",#N/A,TRUE,"25";"26",#N/A,TRUE,"26";"27",#N/A,TRUE,"27";"28",#N/A,TRUE,"28";"29",#N/A,TRUE,"29";"30",#N/A,TRUE,"30";"31",#N/A,TRUE,"31";"32",#N/A,TRUE,"32";"33",#N/A,TRUE,"33";"34",#N/A,TRUE,"34";"35",#N/A,TRUE,"35";"36",#N/A,TRUE,"36";"37",#N/A,TRUE,"37";"38",#N/A,TRUE,"38";"39",#N/A,TRUE,"39";"40",#N/A,TRUE,"40";"41",#N/A,TRUE,"41";"42",#N/A,TRUE,"42";"43",#N/A,TRUE,"43";"44",#N/A,TRUE,"44";"45",#N/A,TRUE,"45";"46",#N/A,TRUE,"46";"47",#N/A,TRUE,"47";"48",#N/A,TRUE,"48";"49",#N/A,TRUE,"49";"50",#N/A,TRUE,"50";"51",#N/A,TRUE,"51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hidden="1">{#N/A,#N/A,FALSE,"Summary";#N/A,#N/A,FALSE,"Berkeley";#N/A,#N/A,FALSE,"HS";#N/A,#N/A,FALSE,"Brookside";#N/A,#N/A,FALSE,"George";#N/A,#N/A,FALSE,"Ketler";#N/A,#N/A,FALSE,"Washington"}</definedName>
    <definedName name="wrn.Total._.Model." hidden="1">{#N/A,#N/A,TRUE,"toc";#N/A,#N/A,TRUE,"data1";#N/A,#N/A,TRUE,"financing";#N/A,#N/A,TRUE,"source";#N/A,#N/A,TRUE,"cash";#N/A,#N/A,TRUE,"DSReserve";#N/A,#N/A,TRUE,"tax";#N/A,#N/A,TRUE,"1st";#N/A,#N/A,TRUE,"3rd";#N/A,#N/A,TRUE,"4th";#N/A,#N/A,TRUE,"5th";#N/A,#N/A,TRUE,"6th";#N/A,#N/A,TRUE,"deffee";#N/A,#N/A,TRUE,"lnsum";#N/A,#N/A,TRUE,"depr";#N/A,#N/A,TRUE,"funded";#N/A,#N/A,TRUE,"residual";#N/A,#N/A,TRUE,"fedtc";#N/A,#N/A,TRUE,"statetc";#N/A,#N/A,TRUE,"mingain";#N/A,#N/A,TRUE,"mtdata1";#N/A,#N/A,TRUE,"mtsource";#N/A,#N/A,TRUE,"noi";#N/A,#N/A,TRUE,"base";#N/A,#N/A,TRUE,"mtcash";#N/A,#N/A,TRUE,"-3%";#N/A,#N/A,TRUE,"mttax";#N/A,#N/A,TRUE,"mtben";#N/A,#N/A,TRUE,"mtopresv";#N/A,#N/A,TRUE,"tcamort";#N/A,#N/A,TRUE,"mtdepc";#N/A,#N/A,TRUE,"sale";#N/A,#N/A,TRUE,"Qirr";#N/A,#N/A,TRUE,"mingainMT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s." hidden="1">{#N/A,#N/A,TRUE,"TOTAL";#N/A,#N/A,TRUE,"Total Pipes"}</definedName>
    <definedName name="wrn.TownPoint." hidden="1">{"Townpoint-Investor",#N/A,FALSE,"TownPoint";"Townpoint-Property",#N/A,FALSE,"TownPoint"}</definedName>
    <definedName name="wrn.trial._.cash." hidden="1">{#N/A,#N/A,FALSE,"cashflow";#N/A,#N/A,FALSE,"trial balance"}</definedName>
    <definedName name="wrn.Tweety." hidden="1">{#N/A,#N/A,FALSE,"A&amp;E";#N/A,#N/A,FALSE,"HighTop";#N/A,#N/A,FALSE,"JG";#N/A,#N/A,FALSE,"RI";#N/A,#N/A,FALSE,"woHT";#N/A,#N/A,FALSE,"woHT&amp;JG"}</definedName>
    <definedName name="wrn.Tycon._.Model." hidden="1">{"rtn",#N/A,FALSE,"RTN";"tables",#N/A,FALSE,"RTN";"cf",#N/A,FALSE,"CF";"stats",#N/A,FALSE,"Stats";"prop",#N/A,FALSE,"Prop"}</definedName>
    <definedName name="wrn.Underwriting." hidden="1">{#N/A,#N/A,FALSE,"proforma";#N/A,#N/A,FALSE,"loananalysis";#N/A,#N/A,FALSE,"unitmix"}</definedName>
    <definedName name="wrn.Underwriting._.Analysis." hidden="1">{#N/A,#N/A,FALSE,"Underwriting Analysis"}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UTILITY." hidden="1">{"UTIL",#N/A,FALSE,"ODP"}</definedName>
    <definedName name="wrn.valuation." hidden="1">{"Page1",#N/A,FALSE,"7979";"Page2",#N/A,FALSE,"7979";"Page3",#N/A,FALSE,"7979"}</definedName>
    <definedName name="wrn.Variance._.Worksheet." hidden="1">{#N/A,#N/A,FALSE,"VARSTRIP"}</definedName>
    <definedName name="wrn.ventana." hidden="1">{#N/A,#N/A,FALSE,"Cash Flow";#N/A,#N/A,FALSE,"scenario 1"}</definedName>
    <definedName name="wrn.Woksheets._.and._.entries." hidden="1">{#N/A,#N/A,FALSE,"Emmes Capital";#N/A,#N/A,FALSE,"Capital  Entries";#N/A,#N/A,FALSE,"Emmes Services";#N/A,#N/A,FALSE,"Services Entries";#N/A,#N/A,FALSE,"Emmes &amp; Co";#N/A,#N/A,FALSE,"Emmes  Entries";#N/A,#N/A,FALSE,"Proof"}</definedName>
    <definedName name="wrn.Working._.Party._.List." hidden="1">{#N/A,#N/A,FALSE,"Working List"}</definedName>
    <definedName name="wrn.worksheets." hidden="1">{#N/A,#N/A,FALSE,"partnership mgt fee";#N/A,#N/A,FALSE,"debt";#N/A,#N/A,FALSE,"incentive mgt fee";#N/A,#N/A,FALSE,"res. receipts";#N/A,#N/A,FALSE,"analytics";#N/A,#N/A,FALSE,"equity";#N/A,#N/A,FALSE,"cashflow";#N/A,#N/A,FALSE,"trial balance"}</definedName>
    <definedName name="wrn.worksheets._.that._.change." hidden="1">{#N/A,#N/A,FALSE,"ws trial balance sheet";#N/A,#N/A,FALSE,"ws trial bal. p &amp; l";#N/A,#N/A,FALSE,"ws cashflow"}</definedName>
    <definedName name="wrn.worksheets._.using._.unadjusted._.no.s." hidden="1">{#N/A,#N/A,FALSE,"ws equity";#N/A,#N/A,FALSE,"analytical review";#N/A,#N/A,FALSE,"syndication";#N/A,#N/A,FALSE,"relocation"}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hidden="1">{"One",#N/A,FALSE,"Wynwood";"Two",#N/A,FALSE,"Wynwood";"Three",#N/A,FALSE,"Wynwood";"Four",#N/A,FALSE,"Wynwood";"Five",#N/A,FALSE,"Wynwood"}</definedName>
    <definedName name="wrn.XL._.DTR.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wrn.Yearly." hidden="1">{"One",#N/A,FALSE,"Yearly"}</definedName>
    <definedName name="wrn.Yield._.Graph." hidden="1">{#N/A,#N/A,FALSE,"Yield Graph"}</definedName>
    <definedName name="wrn.Yield._.Graph._.plus._.Input." hidden="1">{#N/A,#N/A,FALSE,"Yield Graph";#N/A,#N/A,FALSE,"Rent Roll";#N/A,#N/A,FALSE,"OE Yr1";#N/A,#N/A,FALSE,"Repl.Cst.+Ins."}</definedName>
    <definedName name="wrn2.financials" hidden="1">{#N/A,#N/A,FALSE,"fs activities";#N/A,#N/A,FALSE,"fs finposition";#N/A,#N/A,FALSE,"fs expenses";#N/A,#N/A,FALSE,"fs cashflows";#N/A,#N/A,FALSE,"fs fed awards"}</definedName>
    <definedName name="wrnBasic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ll." hidden="1">{TRUE,TRUE,-1.25,-15.5,484.5,276.75,FALSE,TRUE,TRUE,TRUE,0,1,#N/A,1,#N/A,6.01298701298701,19.0666666666667,1,FALSE,FALSE,3,TRUE,1,FALSE,100,"Swvu.All.","ACwvu.All.",#N/A,FALSE,FALSE,0.5,0.5,0.5,0.5,2,"","&amp;CSection B
Page &amp;P&amp;R&amp;D, &amp;F",FALSE,FALSE,FALSE,FALSE,1,95,#N/A,#N/A,"=R7C2:R39C12","=C1,R1:R6",#N/A,#N/A,FALSE,FALSE,FALSE,1,65532,65532,FALSE,FALSE,TRUE,TRUE,TRUE}</definedName>
    <definedName name="wvu.CAM._.RATES." hidden="1">{TRUE,TRUE,-1.25,-15.5,604.5,366.75,FALSE,FALSE,TRUE,TRUE,0,1,#N/A,46,#N/A,69.016393442623,25.2941176470588,1,FALSE,FALSE,3,TRUE,1,FALSE,100,"Swvu.CAM._.RATES.","ACwvu.CAM._.RATES.",#N/A,FALSE,FALSE,0.37,0.4,1,0.37,2,"&amp;L&amp;""Arial,Bold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&amp;T",FALSE,FALSE,FALSE,FALSE,1,#N/A,1,#N/A,"=R48C62:R70C75","=R1:R2","Rwvu.CAM._.RATES.",#N/A,FALSE,FALSE,FALSE,1,65532,65532,FALSE,FALSE,TRUE,TRUE,TRUE}</definedName>
    <definedName name="wvu.CAM._.RECOVERY." hidden="1">{TRUE,TRUE,-1.25,-15.5,604.5,366.75,FALSE,FALSE,TRUE,TRUE,0,1,#N/A,1,#N/A,69.016393442623,23,1,FALSE,FALSE,3,TRUE,1,FALSE,100,"Swvu.CAM._.RECOVERY.","ACwvu.CAM._.RECOVERY.",#N/A,FALSE,FALSE,0.21,0.21,1,0.37,2,"&amp;L&amp;""Arial,Bold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&amp;T",FALSE,FALSE,FALSE,FALSE,1,#N/A,1,#N/A,"=R3C1:R46C75","=R1:R2","Rwvu.CAM._.RECOVERY.",#N/A,FALSE,FALSE,FALSE,1,65532,65532,FALSE,FALSE,TRUE,TRUE,TRUE}</definedName>
    <definedName name="wvu.fullpage.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SMEET." hidden="1">{TRUE,TRUE,-1.25,-15.5,604.5,366.75,FALSE,FALSE,TRUE,TRUE,0,1,8,1,3,7,2,4,TRUE,TRUE,3,TRUE,1,TRUE,100,"Swvu.LSMEET.","ACwvu.LSMEET.",#N/A,FALSE,FALSE,0.37,0.4,1,0.37,2,"&amp;L&amp;""Arial,Bold Italic""&amp;USCHEDULE B &amp; C&amp;C&amp;""Arial,Bold""&amp;UINCOME AND EXPENSE BUDGET
FOR THE YEAR ENDING 12/31/97&amp;R&amp;""Arial,Bold Italic""&amp;UEASTLAND SHOPPING CENTER","&amp;LWestfield Corporation, Inc.&amp;CPage &amp;P of &amp;N&amp;R&amp;D &amp;T",FALSE,FALSE,FALSE,FALSE,1,#N/A,1,#N/A,"=R3C1:R44C22","=R1:R2","Rwvu.LSMEET.",#N/A,FALSE,FALSE,FALSE,1,65532,65532,FALSE,FALSE,TRUE,TRUE,TRUE}</definedName>
    <definedName name="wvu.MARKETING._.REVENUE." hidden="1">{TRUE,TRUE,-1.25,-15.5,484.5,276.75,FALSE,FALSE,TRUE,TRUE,0,1,114,1,43,4,2,4,TRUE,TRUE,3,TRUE,1,TRUE,100,"Swvu.MARKETING._.REVENUE.","ACwvu.MARKETING._.REVENUE.",#N/A,FALSE,FALSE,0.37,0.4,1,0.37,2,"&amp;L&amp;""Arial,Bold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&amp;T",FALSE,FALSE,FALSE,FALSE,1,#N/A,1,#N/A,#DIV/0!,"=R1:R2","Rwvu.MARKETING._.REVENUE.",#N/A,FALSE,FALSE,FALSE,1,#N/A,#N/A,FALSE,FALSE,TRUE,TRUE,TRUE}</definedName>
    <definedName name="wvu.MINIMUM._.RENT." hidden="1">{TRUE,TRUE,-1.25,-15.5,484.5,276.75,FALSE,FALSE,TRUE,TRUE,0,17,#N/A,35,#N/A,102.859375,18.2222222222222,1,FALSE,FALSE,3,TRUE,1,FALSE,100,"Swvu.MINIMUM._.RENT.","ACwvu.MINIMUM._.RENT.",#N/A,FALSE,FALSE,0.37,0.4,1,0.37,2,"&amp;L&amp;""Arial,Bold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&amp;T",FALSE,FALSE,FALSE,FALSE,1,59,#N/A,#N/A,"=R3C1:R46C22","=R1:R2","Rwvu.MINIMUM._.RENT.",#N/A,FALSE,FALSE,FALSE,1,#N/A,#N/A,FALSE,FALSE,TRUE,TRUE,TRUE}</definedName>
    <definedName name="wvu.OCCUPANCY." hidden="1">{TRUE,TRUE,-1.25,-15.5,604.5,366.75,FALSE,FALSE,TRUE,TRUE,0,1,#N/A,1,#N/A,54.1481481481481,23,1,FALSE,FALSE,3,TRUE,1,FALSE,100,"Swvu.OCCUPANCY.","ACwvu.OCCUPANCY.",#N/A,FALSE,FALSE,0.21,0.21,1,0.37,2,"&amp;L&amp;""Arial,Bold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&amp;T",FALSE,FALSE,FALSE,FALSE,1,#N/A,1,#N/A,"=R3C1:R59C61","=R1:R2","Rwvu.OCCUPANCY.",#N/A,FALSE,FALSE,FALSE,1,65532,65532,FALSE,FALSE,TRUE,TRUE,TRUE}</definedName>
    <definedName name="wvu.PERCENTAGE._.RENT." hidden="1">{TRUE,TRUE,-1.25,-15.5,484.5,276.75,FALSE,FALSE,TRUE,TRUE,0,1,47,1,43,21,2,4,TRUE,TRUE,3,TRUE,1,TRUE,100,"Swvu.PERCENTAGE._.RENT.","ACwvu.PERCENTAGE._.RENT.",#N/A,FALSE,FALSE,0.37,0.4,1,0.37,2,"&amp;L&amp;""Arial,Bold Italic""&amp;USCHEDULE B &amp; C&amp;C&amp;""Arial,Bold""&amp;UINCOME AND EXPENSE BUDGET
FOR THE YEAR ENDING 12/31/98&amp;R&amp;""Arial,Bold Italic""&amp;UEASTLAND SHOPPING CENTER","&amp;LWestfield Corporation, Inc.&amp;CPage &amp;P of &amp;N&amp;R&amp;D &amp;T",FALSE,FALSE,FALSE,FALSE,1,#N/A,1,#N/A,#DIV/0!,"=R1:R2","Rwvu.PERCENTAGE._.RENT.",#N/A,FALSE,FALSE,FALSE,1,#N/A,#N/A,FALSE,FALSE,TRUE,TRUE,TRUE}</definedName>
    <definedName name="wvu.small.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AX._.RATES." hidden="1">{TRUE,TRUE,-1.25,-15.5,604.5,366.75,FALSE,FALSE,TRUE,TRUE,0,1,#N/A,49,#N/A,84.016393442623,25.2941176470588,1,FALSE,FALSE,3,TRUE,1,FALSE,100,"Swvu.TAX._.RATES.","ACwvu.TAX._.RATES.",#N/A,FALSE,FALSE,0.21,0.21,1,0.37,2,"&amp;L&amp;""Arial,Bold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&amp;T",FALSE,FALSE,FALSE,FALSE,1,#N/A,1,#N/A,"=R51C78:R64C90","=R1:R2","Rwvu.TAX._.RATES.",#N/A,FALSE,FALSE,FALSE,1,65532,65532,FALSE,FALSE,TRUE,TRUE,TRUE}</definedName>
    <definedName name="wvu.TAX._.RECOVERY." hidden="1">{TRUE,TRUE,-1.25,-15.5,604.5,366.75,FALSE,FALSE,TRUE,TRUE,0,1,#N/A,1,#N/A,84.016393442623,23,1,FALSE,FALSE,3,TRUE,1,FALSE,100,"Swvu.TAX._.RECOVERY.","ACwvu.TAX._.RECOVERY.",#N/A,FALSE,FALSE,0.21,0.21,1,0.37,2,"&amp;L&amp;""Arial,Bold Italic""&amp;USCHEDULE B &amp; C&amp;C&amp;""Arial,Bold""&amp;UINCOME AND EXPENSE BUDGET
FOR THE YEAR ENDING 12/31/97&amp;R&amp;""Arial,Bold Italic""&amp;UEASTLAND SHOPPING CENTER","&amp;L&amp;8Westfield Corporation, Inc.&amp;C&amp;8Page &amp;P of &amp;N&amp;R&amp;8&amp;D &amp;T",FALSE,FALSE,FALSE,FALSE,1,#N/A,1,#N/A,"=R3C1:R46C90","=R1:R2","Rwvu.TAX._.RECOVERY.",#N/A,FALSE,FALSE,FALSE,1,65532,65532,FALSE,FALSE,TRUE,TRUE,TRUE}</definedName>
    <definedName name="wvu.x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2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3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4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a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b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c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d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e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f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g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h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j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x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vu.xy" hidden="1">{TRUE,TRUE,-2.75,-17,604.5,359.25,FALSE,FALSE,TRUE,TRUE,0,1,#N/A,1,#N/A,21.925,39.3125,1,FALSE,FALSE,3,TRUE,1,FALSE,75,"Swvu.small.","ACwvu.small.",7,FALSE,FALSE,0.75,0.75,0.75,1,1,"&amp;C&amp;""Arial,Bold""ESPC workbook","Page &amp;P&amp;R&amp;A",FALSE,FALSE,FALSE,FALSE,1,100,#N/A,#N/A,FALSE,FALSE,"Rwvu.small.","Cwvu.small.",FALSE,FALSE,FALSE,1,300,300,FALSE,FALSE,TRUE,TRUE,TRUE}</definedName>
    <definedName name="wvu.xz" hidden="1">{TRUE,TRUE,-2.75,-17,604.5,359.25,FALSE,FALSE,TRUE,TRUE,0,1,#N/A,1,#N/A,16.1964285714286,29.9230769230769,1,FALSE,FALSE,3,TRUE,1,FALSE,75,"Swvu.fullpage.","ACwvu.fullpage.",8,FALSE,FALSE,0.75,0.75,1,1,2,"&amp;C&amp;""Arial,Bold""ESPC workbook","Page &amp;P&amp;R&amp;A",FALSE,FALSE,FALSE,FALSE,1,#N/A,1,1,FALSE,FALSE,#N/A,#N/A,FALSE,FALSE,FALSE,1,300,200,FALSE,FALSE,TRUE,TRUE,TRUE}</definedName>
    <definedName name="ww" hidden="1">{"ASS",#N/A,TRUE,"Assumptions";"OUT1",#N/A,TRUE,"1";"out2",#N/A,TRUE,"2";"out3",#N/A,TRUE,"3";"out4",#N/A,TRUE,"4";"out5",#N/A,TRUE,"5";"out6",#N/A,TRUE,"6";"out7",#N/A,TRUE,"7";"out8",#N/A,TRUE,"8";"out9",#N/A,TRUE,"9";"out10",#N/A,TRUE,"10";"out11",#N/A,TRUE,"11";"out12",#N/A,TRUE,"12";"out13",#N/A,TRUE,"13";"out14",#N/A,TRUE,"14";"out15",#N/A,TRUE,"15";"out16",#N/A,TRUE,"16";"out17",#N/A,TRUE,"17";"out18",#N/A,TRUE,"18";"out19",#N/A,TRUE,"19";"out20",#N/A,TRUE,"20";"out21",#N/A,TRUE,"21";"OUT22",#N/A,TRUE,"22";"out23",#N/A,TRUE,"23";"out24",#N/A,TRUE,"24";"out25",#N/A,TRUE,"25";"out26",#N/A,TRUE,"26";"out27",#N/A,TRUE,"27";"out28",#N/A,TRUE,"28";"out29",#N/A,TRUE,"29";"out30",#N/A,TRUE,"30";"out31",#N/A,TRUE,"31";"out32",#N/A,TRUE,"32";"out33",#N/A,TRUE,"33";"out34",#N/A,TRUE,"34";"out35",#N/A,TRUE,"35";"out36",#N/A,TRUE,"36";"out37",#N/A,TRUE,"37";"out38",#N/A,TRUE,"38";"out39",#N/A,TRUE,"39";"out40",#N/A,TRUE,"40";"out41",#N/A,TRUE,"41";"out42",#N/A,TRUE,"42";"out43",#N/A,TRUE,"43";"out44",#N/A,TRUE,"44";"out45",#N/A,TRUE,"45";"out46",#N/A,TRUE,"46";"out47",#N/A,TRUE,"47";"out48",#N/A,TRUE,"48";"out49",#N/A,TRUE,"49";"out50",#N/A,TRUE,"50";"out51",#N/A,TRUE,"51";"out52",#N/A,TRUE,"52";"out53",#N/A,TRUE,"53";"out54",#N/A,TRUE,"54";"out55",#N/A,TRUE,"55";"out56",#N/A,TRUE,"56";"out57",#N/A,TRUE,"57";"out58",#N/A,TRUE,"58"}</definedName>
    <definedName name="www" hidden="1">{#N/A,#N/A,FALSE,"ExecutiveSummary";#N/A,#N/A,FALSE,"CostDetail";#N/A,#N/A,FALSE,"IncomeDetail";#N/A,#N/A,FALSE,"InterestCalculation"}</definedName>
    <definedName name="wwwww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x" hidden="1">{"mgmt forecast",#N/A,FALSE,"Mgmt Forecast";"dcf table",#N/A,FALSE,"Mgmt Forecast";"sensitivity",#N/A,FALSE,"Mgmt Forecast";"table inputs",#N/A,FALSE,"Mgmt Forecast";"calculations",#N/A,FALSE,"Mgmt Forecast"}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xxxx" hidden="1">{"mgmt forecast",#N/A,FALSE,"Mgmt Forecast";"dcf table",#N/A,FALSE,"Mgmt Forecast";"sensitivity",#N/A,FALSE,"Mgmt Forecast";"table inputs",#N/A,FALSE,"Mgmt Forecast";"calculations",#N/A,FALSE,"Mgmt Forecast"}</definedName>
    <definedName name="XXXXX" hidden="1">{#N/A,#N/A,TRUE,"DO-Ia";#N/A,#N/A,TRUE,"DO-Ib";#N/A,#N/A,TRUE,"DO-II";#N/A,#N/A,TRUE,"DO-III";#N/A,#N/A,TRUE,"DO-IV";#N/A,#N/A,TRUE,"DO-V"}</definedName>
    <definedName name="xxxxxxx" hidden="1">{#N/A,#N/A,TRUE,"General Inputs";#N/A,#N/A,TRUE,"IDIQ-I";#N/A,#N/A,TRUE,"IDIQ-II";#N/A,#N/A,TRUE,"IDIQ-III";#N/A,#N/A,TRUE,"IDIQ-IV";#N/A,#N/A,TRUE,"IDIQ-V";#N/A,#N/A,TRUE,"IDIQ-VI";#N/A,#N/A,TRUE,"DO-Ia";#N/A,#N/A,TRUE,"DO-Ib";#N/A,#N/A,TRUE,"DO-II";#N/A,#N/A,TRUE,"DO-II Worksheet";#N/A,#N/A,TRUE,"DO-III";#N/A,#N/A,TRUE,"DO-IV";#N/A,#N/A,TRUE,"DO-V";#N/A,#N/A,TRUE,"DO-V Worksheet"}</definedName>
    <definedName name="xyz" hidden="1">{#N/A,#N/A,TRUE,"XL Cash Flow";#N/A,#N/A,TRUE,"Prop Valuation";#N/A,#N/A,TRUE,"Equity";#N/A,#N/A,TRUE,"Modeling assumptions";#N/A,#N/A,TRUE,"NER Model";#N/A,#N/A,TRUE,"Lease Exp";#N/A,#N/A,TRUE,"Inc &amp; Exp";#N/A,#N/A,TRUE,"Formatted - roll";#N/A,#N/A,TRUE,"Debt Model";#N/A,#N/A,TRUE,"Debt-Moody";#N/A,#N/A,TRUE,"Debt"}</definedName>
    <definedName name="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ed" hidden="1">{#N/A,#N/A,TRUE,"toc";#N/A,#N/A,TRUE,"data1";#N/A,#N/A,TRUE,"financing";#N/A,#N/A,TRUE,"source";#N/A,#N/A,TRUE,"atrisk";#N/A,#N/A,TRUE,"cash";#N/A,#N/A,TRUE,"-3%state";#N/A,#N/A,TRUE,"tax";#N/A,#N/A,TRUE,"ben";#N/A,#N/A,TRUE,"ben-altmin";#N/A,#N/A,TRUE,"ln3";#N/A,#N/A,TRUE,"ln2 (2)";#N/A,#N/A,TRUE,"mht";#N/A,#N/A,TRUE,"cda2";#N/A,#N/A,TRUE,"lnsum";#N/A,#N/A,TRUE,"rep";#N/A,#N/A,TRUE,"depr";#N/A,#N/A,TRUE,"mtdepc";#N/A,#N/A,TRUE,"funded";#N/A,#N/A,TRUE,"fedtc";#N/A,#N/A,TRUE,"statetc";#N/A,#N/A,TRUE,"mingain";#N/A,#N/A,TRUE,"mtdata1";#N/A,#N/A,TRUE,"mtsource";#N/A,#N/A,TRUE,"mtop";#N/A,#N/A,TRUE,"noi";#N/A,#N/A,TRUE,"base";#N/A,#N/A,TRUE,"mtcash";#N/A,#N/A,TRUE,"-3%";#N/A,#N/A,TRUE,"mttax";#N/A,#N/A,TRUE,"mtben";#N/A,#N/A,TRUE,"sale";#N/A,#N/A,TRUE,"ti";#N/A,#N/A,TRUE,"tcamort";#N/A,#N/A,TRUE,"mingainMT";#N/A,#N/A,TRUE,"Qirr"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Z_28BDDCCC_2551_11D1_BD8E_0020AF42250B_.wvu.Cols" hidden="1">'[17]Min Rent'!$B$1:$C$65536,'[17]Min Rent'!$F$1:$AA$65536,'[17]Min Rent'!#REF!</definedName>
    <definedName name="Z_28BDDCCD_2551_11D1_BD8E_0020AF42250B_.wvu.Cols" hidden="1">'[17]Min Rent'!$B$1:$C$65536,'[17]Min Rent'!$F$1:$AA$65536,'[17]Min Rent'!#REF!</definedName>
    <definedName name="Z_28BDDCCF_2551_11D1_BD8E_0020AF42250B_.wvu.Cols" hidden="1">'[17]Min Rent'!$C$1:$C$65536,'[17]Min Rent'!#REF!,'[17]Min Rent'!#REF!,'[17]Min Rent'!#REF!</definedName>
    <definedName name="Z_28BDDCD0_2551_11D1_BD8E_0020AF42250B_.wvu.Cols" hidden="1">'[17]Min Rent'!$B$1:$C$65536,'[17]Min Rent'!$F$1:$F$65536,'[17]Min Rent'!$H$1:$AA$65536</definedName>
    <definedName name="Z_28BDDCD1_2551_11D1_BD8E_0020AF42250B_.wvu.Cols" hidden="1">'[17]Min Rent'!$B$1:$C$65536,'[17]Min Rent'!#REF!</definedName>
    <definedName name="Z_28BDDCD2_2551_11D1_BD8E_0020AF42250B_.wvu.Cols" hidden="1">'[17]Min Rent'!$B$1:$C$65536,'[17]Min Rent'!$I$1:$AA$65536,'[17]Min Rent'!#REF!</definedName>
    <definedName name="Z_28BDDCD3_2551_11D1_BD8E_0020AF42250B_.wvu.Cols" hidden="1">'[17]Min Rent'!$B$1:$C$65536,'[17]Min Rent'!$F$1:$AA$65536,'[17]Min Rent'!#REF!,'[17]Min Rent'!#REF!</definedName>
    <definedName name="Z_28BDDCD8_2551_11D1_BD8E_0020AF42250B_.wvu.Cols" hidden="1">'[17]Min Rent'!$B$1:$C$65536,'[17]Min Rent'!$F$1:$AA$65536,'[17]Min Rent'!#REF!</definedName>
    <definedName name="Z_28BDDCD9_2551_11D1_BD8E_0020AF42250B_.wvu.Cols" hidden="1">'[17]Min Rent'!$B$1:$C$65536,'[17]Min Rent'!$F$1:$AA$65536,'[17]Min Rent'!#REF!</definedName>
    <definedName name="Z_38B66622_465C_11D1_8554_0080C7F00AC6_.wvu.Cols" hidden="1">'[17]Min Rent'!$B$1:$C$65536,'[17]Min Rent'!$F$1:$AA$65536,'[17]Min Rent'!#REF!</definedName>
    <definedName name="Z_38B66623_465C_11D1_8554_0080C7F00AC6_.wvu.Cols" hidden="1">'[17]Min Rent'!$B$1:$C$65536,'[17]Min Rent'!$F$1:$AA$65536,'[17]Min Rent'!#REF!</definedName>
    <definedName name="Z_38B66625_465C_11D1_8554_0080C7F00AC6_.wvu.Cols" hidden="1">'[17]Min Rent'!$C$1:$C$65536,'[17]Min Rent'!#REF!,'[17]Min Rent'!#REF!,'[17]Min Rent'!#REF!</definedName>
    <definedName name="Z_38B66626_465C_11D1_8554_0080C7F00AC6_.wvu.Cols" hidden="1">'[17]Min Rent'!$B$1:$C$65536,'[17]Min Rent'!$F$1:$F$65536,'[17]Min Rent'!$H$1:$AA$65536</definedName>
    <definedName name="Z_38B66627_465C_11D1_8554_0080C7F00AC6_.wvu.Cols" hidden="1">'[17]Min Rent'!$B$1:$C$65536,'[17]Min Rent'!#REF!</definedName>
    <definedName name="Z_38B66628_465C_11D1_8554_0080C7F00AC6_.wvu.Cols" hidden="1">'[17]Min Rent'!$B$1:$C$65536,'[17]Min Rent'!$I$1:$AA$65536,'[17]Min Rent'!#REF!</definedName>
    <definedName name="Z_38B66629_465C_11D1_8554_0080C7F00AC6_.wvu.Cols" hidden="1">'[17]Min Rent'!$B$1:$C$65536,'[17]Min Rent'!$F$1:$AA$65536,'[17]Min Rent'!#REF!,'[17]Min Rent'!#REF!</definedName>
    <definedName name="Z_38B6662E_465C_11D1_8554_0080C7F00AC6_.wvu.Cols" hidden="1">'[17]Min Rent'!$B$1:$C$65536,'[17]Min Rent'!$F$1:$AA$65536,'[17]Min Rent'!#REF!</definedName>
    <definedName name="Z_38B6662F_465C_11D1_8554_0080C7F00AC6_.wvu.Cols" hidden="1">'[17]Min Rent'!$B$1:$C$65536,'[17]Min Rent'!$F$1:$AA$65536,'[17]Min Rent'!#REF!</definedName>
    <definedName name="Z_3FFCEA43_F8AA_11D0_BD29_0020AF42250B_.wvu.Cols" hidden="1">'[17]Min Rent'!$B$1:$C$65536,'[17]Min Rent'!$F$1:$AA$65536,'[17]Min Rent'!#REF!</definedName>
    <definedName name="Z_3FFCEA43_F8AA_11D0_BD29_0020AF42250B_.wvu.PrintArea" hidden="1">#REF!</definedName>
    <definedName name="Z_3FFCEA43_F8AA_11D0_BD29_0020AF42250B_.wvu.PrintTitles" hidden="1">#REF!</definedName>
    <definedName name="Z_40D1A02B_1594_11D1_BD73_0020AF42250B_.wvu.Cols" hidden="1">'[17]Min Rent'!$B$1:$C$65536,'[17]Min Rent'!$F$1:$AA$65536,'[17]Min Rent'!#REF!</definedName>
    <definedName name="Z_40D1A02C_1594_11D1_BD73_0020AF42250B_.wvu.Cols" hidden="1">'[17]Min Rent'!$B$1:$C$65536,'[17]Min Rent'!$F$1:$AA$65536,'[17]Min Rent'!#REF!</definedName>
    <definedName name="Z_40D1A02D_1594_11D1_BD73_0020AF42250B_.wvu.Cols" hidden="1">'[17]Min Rent'!$C$1:$C$65536,'[17]Min Rent'!#REF!,'[17]Min Rent'!#REF!,'[17]Min Rent'!#REF!</definedName>
    <definedName name="Z_40D1A02E_1594_11D1_BD73_0020AF42250B_.wvu.Cols" hidden="1">'[17]Min Rent'!$B$1:$C$65536,'[17]Min Rent'!$F$1:$F$65536,'[17]Min Rent'!$H$1:$AA$65536</definedName>
    <definedName name="Z_40D1A02F_1594_11D1_BD73_0020AF42250B_.wvu.Cols" hidden="1">'[17]Min Rent'!$B$1:$C$65536,'[17]Min Rent'!#REF!</definedName>
    <definedName name="Z_40D1A030_1594_11D1_BD73_0020AF42250B_.wvu.Cols" hidden="1">'[17]Min Rent'!$B$1:$C$65536,'[17]Min Rent'!$I$1:$AA$65536,'[17]Min Rent'!#REF!</definedName>
    <definedName name="Z_40D1A031_1594_11D1_BD73_0020AF42250B_.wvu.Cols" hidden="1">'[17]Min Rent'!$B$1:$C$65536,'[17]Min Rent'!$F$1:$AA$65536,'[17]Min Rent'!#REF!,'[17]Min Rent'!#REF!</definedName>
    <definedName name="Z_40D1A032_1594_11D1_BD73_0020AF42250B_.wvu.Cols" hidden="1">'[17]Min Rent'!$B$1:$C$65536,'[17]Min Rent'!$F$1:$AA$65536,'[17]Min Rent'!#REF!</definedName>
    <definedName name="Z_40D1A033_1594_11D1_BD73_0020AF42250B_.wvu.Cols" hidden="1">'[17]Min Rent'!$B$1:$C$65536,'[17]Min Rent'!$F$1:$AA$65536,'[17]Min Rent'!#REF!</definedName>
    <definedName name="Z_40D1A104_1594_11D1_BD73_0020AF42250B_.wvu.Cols" hidden="1">'[17]Min Rent'!$B$1:$C$65536,'[17]Min Rent'!$F$1:$AA$65536,'[17]Min Rent'!#REF!</definedName>
    <definedName name="Z_40D1A105_1594_11D1_BD73_0020AF42250B_.wvu.Cols" hidden="1">'[17]Min Rent'!$B$1:$C$65536,'[17]Min Rent'!$F$1:$AA$65536,'[17]Min Rent'!#REF!</definedName>
    <definedName name="Z_40D1A107_1594_11D1_BD73_0020AF42250B_.wvu.Cols" hidden="1">'[17]Min Rent'!$C$1:$C$65536,'[17]Min Rent'!#REF!,'[17]Min Rent'!#REF!,'[17]Min Rent'!#REF!</definedName>
    <definedName name="Z_40D1A109_1594_11D1_BD73_0020AF42250B_.wvu.Cols" hidden="1">'[17]Min Rent'!$B$1:$C$65536,'[17]Min Rent'!$F$1:$F$65536,'[17]Min Rent'!$H$1:$AA$65536</definedName>
    <definedName name="Z_40D1A10B_1594_11D1_BD73_0020AF42250B_.wvu.Cols" hidden="1">'[17]Min Rent'!$B$1:$C$65536,'[17]Min Rent'!#REF!</definedName>
    <definedName name="Z_40D1A10C_1594_11D1_BD73_0020AF42250B_.wvu.Cols" hidden="1">'[17]Min Rent'!$B$1:$C$65536,'[17]Min Rent'!$I$1:$AA$65536,'[17]Min Rent'!#REF!</definedName>
    <definedName name="Z_40D1A10F_1594_11D1_BD73_0020AF42250B_.wvu.Cols" hidden="1">'[17]Min Rent'!$B$1:$C$65536,'[17]Min Rent'!$F$1:$AA$65536,'[17]Min Rent'!#REF!,'[17]Min Rent'!#REF!</definedName>
    <definedName name="Z_40D1A114_1594_11D1_BD73_0020AF42250B_.wvu.Cols" hidden="1">'[17]Min Rent'!$B$1:$C$65536,'[17]Min Rent'!$F$1:$AA$65536,'[17]Min Rent'!#REF!</definedName>
    <definedName name="Z_40D1A115_1594_11D1_BD73_0020AF42250B_.wvu.Cols" hidden="1">'[17]Min Rent'!$B$1:$C$65536,'[17]Min Rent'!$F$1:$AA$65536,'[17]Min Rent'!#REF!</definedName>
    <definedName name="Z_49179D1A_043D_11D1_BD55_0020AF42250B_.wvu.Cols" hidden="1">'[17]Min Rent'!$B$1:$C$65536,'[17]Min Rent'!#REF!</definedName>
    <definedName name="Z_49179D1A_043D_11D1_BD55_0020AF42250B_.wvu.PrintArea" hidden="1">#REF!</definedName>
    <definedName name="Z_49179D1A_043D_11D1_BD55_0020AF42250B_.wvu.PrintTitles" hidden="1">#REF!</definedName>
    <definedName name="Z_49179D1D_043D_11D1_BD55_0020AF42250B_.wvu.Cols" hidden="1">'[17]Min Rent'!$B$1:$C$65536,'[17]Min Rent'!$I$1:$AA$65536,'[17]Min Rent'!#REF!</definedName>
    <definedName name="Z_49179D1D_043D_11D1_BD55_0020AF42250B_.wvu.PrintArea" hidden="1">#REF!</definedName>
    <definedName name="Z_49179D1D_043D_11D1_BD55_0020AF42250B_.wvu.PrintTitles" hidden="1">#REF!</definedName>
    <definedName name="Z_4EC18328_D7E1_11D2_8625_00805F4713ED_.wvu.PrintArea" hidden="1">#REF!</definedName>
    <definedName name="Z_4EC18328_D7E1_11D2_8625_00805F4713ED_.wvu.PrintTitles" hidden="1">#REF!,#REF!</definedName>
    <definedName name="Z_627E98CA_893D_11D2_9EFC_00C04FE0572F_.wvu.PrintArea" hidden="1">#REF!</definedName>
    <definedName name="Z_627E98CB_893D_11D2_9EFC_00C04FE0572F_.wvu.Cols" hidden="1">'[17]Min Rent'!$C$1:$C$65536,'[17]Min Rent'!$E$1:$E$65536,'[17]Min Rent'!$I$1:$AA$65536</definedName>
    <definedName name="Z_627E98CB_893D_11D2_9EFC_00C04FE0572F_.wvu.PrintArea" hidden="1">#REF!</definedName>
    <definedName name="Z_627E98CB_893D_11D2_9EFC_00C04FE0572F_.wvu.PrintTitles" hidden="1">#REF!</definedName>
    <definedName name="Z_6DFA7DCF_3C08_11D1_BDBE_0020AF42250B_.wvu.PrintArea" hidden="1">#REF!</definedName>
    <definedName name="Z_6DFA7DCF_3C08_11D1_BDBE_0020AF42250B_.wvu.PrintTitles" hidden="1">#REF!</definedName>
    <definedName name="Z_6DFA7DD9_3C08_11D1_BDBE_0020AF42250B_.wvu.Cols" hidden="1">'[17]Min Rent'!$B$1:$C$65536,'[17]Min Rent'!$F$1:$AA$65536,'[17]Min Rent'!#REF!</definedName>
    <definedName name="Z_6DFA7DD9_3C08_11D1_BDBE_0020AF42250B_.wvu.PrintArea" hidden="1">'[17]Min Rent'!#REF!</definedName>
    <definedName name="Z_6DFA7DD9_3C08_11D1_BDBE_0020AF42250B_.wvu.PrintTitles" hidden="1">#REF!</definedName>
    <definedName name="Z_6DFA7DDA_3C08_11D1_BDBE_0020AF42250B_.wvu.Cols" hidden="1">'[17]Min Rent'!$B$1:$C$65536,'[17]Min Rent'!$F$1:$AA$65536,'[17]Min Rent'!#REF!</definedName>
    <definedName name="Z_6DFA7DDA_3C08_11D1_BDBE_0020AF42250B_.wvu.PrintArea" hidden="1">#REF!</definedName>
    <definedName name="Z_6DFA7DDA_3C08_11D1_BDBE_0020AF42250B_.wvu.PrintTitles" hidden="1">#REF!</definedName>
    <definedName name="Z_6DFA7DDC_3C08_11D1_BDBE_0020AF42250B_.wvu.Cols" hidden="1">'[17]Min Rent'!$C$1:$C$65536,'[17]Min Rent'!#REF!,'[17]Min Rent'!#REF!,'[17]Min Rent'!#REF!</definedName>
    <definedName name="Z_6DFA7DDC_3C08_11D1_BDBE_0020AF42250B_.wvu.PrintArea" hidden="1">#REF!</definedName>
    <definedName name="Z_6DFA7DDC_3C08_11D1_BDBE_0020AF42250B_.wvu.PrintTitles" hidden="1">#REF!</definedName>
    <definedName name="Z_6DFA7DDD_3C08_11D1_BDBE_0020AF42250B_.wvu.Cols" hidden="1">'[17]Min Rent'!$B$1:$C$65536,'[17]Min Rent'!$F$1:$F$65536,'[17]Min Rent'!$H$1:$AA$65536</definedName>
    <definedName name="Z_6DFA7DDD_3C08_11D1_BDBE_0020AF42250B_.wvu.PrintArea" hidden="1">#REF!</definedName>
    <definedName name="Z_6DFA7DDD_3C08_11D1_BDBE_0020AF42250B_.wvu.PrintTitles" hidden="1">#REF!</definedName>
    <definedName name="Z_6DFA7DDE_3C08_11D1_BDBE_0020AF42250B_.wvu.Cols" hidden="1">'[17]Min Rent'!$B$1:$C$65536,'[17]Min Rent'!#REF!</definedName>
    <definedName name="Z_6DFA7DDE_3C08_11D1_BDBE_0020AF42250B_.wvu.PrintArea" hidden="1">#REF!</definedName>
    <definedName name="Z_6DFA7DDE_3C08_11D1_BDBE_0020AF42250B_.wvu.PrintTitles" hidden="1">#REF!</definedName>
    <definedName name="Z_6DFA7DDF_3C08_11D1_BDBE_0020AF42250B_.wvu.Cols" hidden="1">'[17]Min Rent'!$B$1:$C$65536,'[17]Min Rent'!$I$1:$AA$65536,'[17]Min Rent'!#REF!</definedName>
    <definedName name="Z_6DFA7DDF_3C08_11D1_BDBE_0020AF42250B_.wvu.PrintArea" hidden="1">#REF!</definedName>
    <definedName name="Z_6DFA7DDF_3C08_11D1_BDBE_0020AF42250B_.wvu.PrintTitles" hidden="1">#REF!</definedName>
    <definedName name="Z_6DFA7DE0_3C08_11D1_BDBE_0020AF42250B_.wvu.Cols" hidden="1">'[17]Min Rent'!$B$1:$C$65536,'[17]Min Rent'!$F$1:$AA$65536,'[17]Min Rent'!#REF!,'[17]Min Rent'!#REF!</definedName>
    <definedName name="Z_6DFA7DE0_3C08_11D1_BDBE_0020AF42250B_.wvu.PrintArea" hidden="1">#REF!</definedName>
    <definedName name="Z_6DFA7DE0_3C08_11D1_BDBE_0020AF42250B_.wvu.PrintTitles" hidden="1">#REF!</definedName>
    <definedName name="Z_6DFA7DE5_3C08_11D1_BDBE_0020AF42250B_.wvu.Cols" hidden="1">'[17]Min Rent'!$B$1:$C$65536,'[17]Min Rent'!$F$1:$AA$65536,'[17]Min Rent'!#REF!</definedName>
    <definedName name="Z_6DFA7DE5_3C08_11D1_BDBE_0020AF42250B_.wvu.PrintArea" hidden="1">'[17]Min Rent'!#REF!</definedName>
    <definedName name="Z_6DFA7DE5_3C08_11D1_BDBE_0020AF42250B_.wvu.PrintTitles" hidden="1">#REF!</definedName>
    <definedName name="Z_6DFA7DE6_3C08_11D1_BDBE_0020AF42250B_.wvu.Cols" hidden="1">'[17]Min Rent'!$B$1:$C$65536,'[17]Min Rent'!$F$1:$AA$65536,'[17]Min Rent'!#REF!</definedName>
    <definedName name="Z_6DFA7DE6_3C08_11D1_BDBE_0020AF42250B_.wvu.PrintArea" hidden="1">#REF!</definedName>
    <definedName name="Z_6DFA7DE6_3C08_11D1_BDBE_0020AF42250B_.wvu.PrintTitles" hidden="1">#REF!</definedName>
    <definedName name="Z_6ECC8A59_F873_11D0_BD29_0020AF42250B_.wvu.Cols" hidden="1">'[17]Min Rent'!$B$1:$C$65536,'[17]Min Rent'!$F$1:$AA$65536,'[17]Min Rent'!#REF!</definedName>
    <definedName name="Z_6ECC8A5A_F873_11D0_BD29_0020AF42250B_.wvu.Cols" hidden="1">'[17]Min Rent'!$B$1:$C$65536,'[17]Min Rent'!$F$1:$AA$65536,'[17]Min Rent'!#REF!</definedName>
    <definedName name="Z_6ECC8A5C_F873_11D0_BD29_0020AF42250B_.wvu.Cols" hidden="1">'[17]Min Rent'!$C$1:$C$65536,'[17]Min Rent'!#REF!,'[17]Min Rent'!#REF!,'[17]Min Rent'!#REF!</definedName>
    <definedName name="Z_6ECC8A5D_F873_11D0_BD29_0020AF42250B_.wvu.Cols" hidden="1">'[17]Min Rent'!$B$1:$C$65536,'[17]Min Rent'!$F$1:$F$65536,'[17]Min Rent'!$H$1:$AA$65536</definedName>
    <definedName name="Z_6ECC8A5E_F873_11D0_BD29_0020AF42250B_.wvu.Cols" hidden="1">'[17]Min Rent'!$B$1:$C$65536,'[17]Min Rent'!#REF!</definedName>
    <definedName name="Z_6ECC8A5F_F873_11D0_BD29_0020AF42250B_.wvu.Cols" hidden="1">'[17]Min Rent'!$B$1:$C$65536,'[17]Min Rent'!$I$1:$AA$65536,'[17]Min Rent'!#REF!</definedName>
    <definedName name="Z_6ECC8A60_F873_11D0_BD29_0020AF42250B_.wvu.Cols" hidden="1">'[17]Min Rent'!$B$1:$C$65536,'[17]Min Rent'!$F$1:$G$65536,'[17]Min Rent'!$I$1:$AA$65536,'[17]Min Rent'!#REF!,'[17]Min Rent'!#REF!,'[17]Min Rent'!#REF!,'[17]Min Rent'!#REF!</definedName>
    <definedName name="Z_6ECC8A65_F873_11D0_BD29_0020AF42250B_.wvu.Cols" hidden="1">'[17]Min Rent'!$B$1:$C$65536,'[17]Min Rent'!$F$1:$AA$65536,'[17]Min Rent'!#REF!</definedName>
    <definedName name="Z_6ECC8A66_F873_11D0_BD29_0020AF42250B_.wvu.Cols" hidden="1">'[17]Min Rent'!$B$1:$C$65536,'[17]Min Rent'!$F$1:$AA$65536,'[17]Min Rent'!#REF!</definedName>
    <definedName name="Z_6ECC8A90_F873_11D0_BD29_0020AF42250B_.wvu.PrintTitles" hidden="1">#REF!</definedName>
    <definedName name="Z_6ECC8A95_F873_11D0_BD29_0020AF42250B_.wvu.Cols" hidden="1">'[17]Min Rent'!$B$1:$C$65536,'[17]Min Rent'!$F$1:$AA$65536,'[17]Min Rent'!#REF!</definedName>
    <definedName name="Z_6ECC8A95_F873_11D0_BD29_0020AF42250B_.wvu.PrintArea" hidden="1">#REF!</definedName>
    <definedName name="Z_6ECC8A95_F873_11D0_BD29_0020AF42250B_.wvu.PrintTitles" hidden="1">#REF!</definedName>
    <definedName name="Z_995DB91B_DC87_11D2_BCA9_00C04F8BBE86_.wvu.PrintArea" hidden="1">#REF!</definedName>
    <definedName name="Z_995DB91E_DC87_11D2_BCA9_00C04F8BBE86_.wvu.Cols" hidden="1">#REF!</definedName>
    <definedName name="Z_995DB91E_DC87_11D2_BCA9_00C04F8BBE86_.wvu.PrintArea" hidden="1">#REF!</definedName>
    <definedName name="Z_995DB91E_DC87_11D2_BCA9_00C04F8BBE86_.wvu.Rows" hidden="1">#REF!</definedName>
    <definedName name="Z_995DB91F_DC87_11D2_BCA9_00C04F8BBE86_.wvu.Cols" hidden="1">'[26]% Rent OLD'!$F$1:$V$65536,'[26]% Rent OLD'!$Y$1:$AA$65536,'[26]% Rent OLD'!$AL$1:$AS$65536</definedName>
    <definedName name="Z_995DB91F_DC87_11D2_BCA9_00C04F8BBE86_.wvu.PrintArea" hidden="1">#REF!</definedName>
    <definedName name="Z_995DB91F_DC87_11D2_BCA9_00C04F8BBE86_.wvu.Rows" hidden="1">'[26]% Rent OLD'!$A$3:$IV$3,'[26]% Rent OLD'!$A$5:$IV$6</definedName>
    <definedName name="Z_9A8750D3_468A_11D3_8ECF_00C04F9226C7_.wvu.Cols" hidden="1">'[26]% Rent OLD'!$G$1:$R$65536,'[26]% Rent OLD'!$AB$1:$AC$65536,'[26]% Rent OLD'!$AL$1:$AO$65536</definedName>
    <definedName name="Z_9A8750D3_468A_11D3_8ECF_00C04F9226C7_.wvu.PrintArea" hidden="1">#REF!</definedName>
    <definedName name="Z_9A8750D3_468A_11D3_8ECF_00C04F9226C7_.wvu.Rows" hidden="1">#REF!</definedName>
    <definedName name="Z_A73E33D1_2630_11D1_BD91_0020AF42250B_.wvu.Cols" hidden="1">'[17]Min Rent'!$B$1:$C$65536,'[17]Min Rent'!$F$1:$AA$65536,'[17]Min Rent'!#REF!</definedName>
    <definedName name="Z_A73E33D2_2630_11D1_BD91_0020AF42250B_.wvu.Cols" hidden="1">'[17]Min Rent'!$B$1:$C$65536,'[17]Min Rent'!$F$1:$AA$65536,'[17]Min Rent'!#REF!</definedName>
    <definedName name="Z_A73E33D4_2630_11D1_BD91_0020AF42250B_.wvu.Cols" hidden="1">'[17]Min Rent'!$C$1:$C$65536,'[17]Min Rent'!#REF!,'[17]Min Rent'!#REF!,'[17]Min Rent'!#REF!</definedName>
    <definedName name="Z_A73E33D5_2630_11D1_BD91_0020AF42250B_.wvu.Cols" hidden="1">'[17]Min Rent'!$B$1:$C$65536,'[17]Min Rent'!$F$1:$F$65536,'[17]Min Rent'!$H$1:$AA$65536</definedName>
    <definedName name="Z_A73E33D6_2630_11D1_BD91_0020AF42250B_.wvu.Cols" hidden="1">'[17]Min Rent'!$B$1:$C$65536,'[17]Min Rent'!#REF!</definedName>
    <definedName name="Z_A73E33D7_2630_11D1_BD91_0020AF42250B_.wvu.Cols" hidden="1">'[17]Min Rent'!$B$1:$C$65536,'[17]Min Rent'!$I$1:$AA$65536,'[17]Min Rent'!#REF!</definedName>
    <definedName name="Z_A73E33D8_2630_11D1_BD91_0020AF42250B_.wvu.Cols" hidden="1">'[17]Min Rent'!$B$1:$C$65536,'[17]Min Rent'!$F$1:$AA$65536,'[17]Min Rent'!#REF!,'[17]Min Rent'!#REF!</definedName>
    <definedName name="Z_A73E33DD_2630_11D1_BD91_0020AF42250B_.wvu.Cols" hidden="1">'[17]Min Rent'!$B$1:$C$65536,'[17]Min Rent'!$F$1:$AA$65536,'[17]Min Rent'!#REF!</definedName>
    <definedName name="Z_A73E33DE_2630_11D1_BD91_0020AF42250B_.wvu.Cols" hidden="1">'[17]Min Rent'!$B$1:$C$65536,'[17]Min Rent'!$F$1:$AA$65536,'[17]Min Rent'!#REF!</definedName>
    <definedName name="Z_B47DD997_1976_11D1_BD7C_0020AF42250B_.wvu.Cols" hidden="1">'[17]Min Rent'!$B$1:$C$65536,'[17]Min Rent'!$F$1:$AA$65536,'[17]Min Rent'!#REF!</definedName>
    <definedName name="Z_B47DD998_1976_11D1_BD7C_0020AF42250B_.wvu.Cols" hidden="1">'[17]Min Rent'!$B$1:$C$65536,'[17]Min Rent'!$F$1:$AA$65536,'[17]Min Rent'!#REF!</definedName>
    <definedName name="Z_B47DD99A_1976_11D1_BD7C_0020AF42250B_.wvu.Cols" hidden="1">'[17]Min Rent'!$C$1:$C$65536,'[17]Min Rent'!#REF!,'[17]Min Rent'!#REF!,'[17]Min Rent'!#REF!</definedName>
    <definedName name="Z_B47DD99B_1976_11D1_BD7C_0020AF42250B_.wvu.Cols" hidden="1">'[17]Min Rent'!$B$1:$C$65536,'[17]Min Rent'!$F$1:$F$65536,'[17]Min Rent'!$H$1:$AA$65536</definedName>
    <definedName name="Z_B47DD99C_1976_11D1_BD7C_0020AF42250B_.wvu.Cols" hidden="1">'[17]Min Rent'!$B$1:$C$65536,'[17]Min Rent'!#REF!</definedName>
    <definedName name="Z_B47DD99D_1976_11D1_BD7C_0020AF42250B_.wvu.Cols" hidden="1">'[17]Min Rent'!$B$1:$C$65536,'[17]Min Rent'!$I$1:$AA$65536,'[17]Min Rent'!#REF!</definedName>
    <definedName name="Z_B47DD99E_1976_11D1_BD7C_0020AF42250B_.wvu.Cols" hidden="1">'[17]Min Rent'!$B$1:$C$65536,'[17]Min Rent'!$F$1:$AA$65536,'[17]Min Rent'!#REF!,'[17]Min Rent'!#REF!</definedName>
    <definedName name="Z_B47DD9A3_1976_11D1_BD7C_0020AF42250B_.wvu.Cols" hidden="1">'[17]Min Rent'!$B$1:$C$65536,'[17]Min Rent'!$F$1:$AA$65536,'[17]Min Rent'!#REF!</definedName>
    <definedName name="Z_B47DD9A4_1976_11D1_BD7C_0020AF42250B_.wvu.Cols" hidden="1">'[17]Min Rent'!$B$1:$C$65536,'[17]Min Rent'!$F$1:$AA$65536,'[17]Min Rent'!#REF!</definedName>
    <definedName name="Z_B6AE087C_DC06_11D2_BCA9_00C04F8BBE86_.wvu.Cols" hidden="1">'[26]% Rent OLD'!$G$1:$V$65536,'[26]% Rent OLD'!$X$1:$X$65536,'[26]% Rent OLD'!$Z$1:$Z$65536,'[26]% Rent OLD'!$AB$1:$AK$65536,'[26]% Rent OLD'!$AR$1:$AS$65536</definedName>
    <definedName name="Z_B6AE087C_DC06_11D2_BCA9_00C04F8BBE86_.wvu.PrintArea" hidden="1">#REF!</definedName>
    <definedName name="Z_B6AE087C_DC06_11D2_BCA9_00C04F8BBE86_.wvu.Rows" hidden="1">'[26]% Rent OLD'!$A$3:$IV$4,'[26]% Rent OLD'!$A$6:$IV$6</definedName>
    <definedName name="Z_F2D042EF_2606_11D1_BD91_0020AF42250B_.wvu.Cols" hidden="1">'[17]Min Rent'!$B$1:$C$65536,'[17]Min Rent'!$F$1:$AA$65536,'[17]Min Rent'!#REF!</definedName>
    <definedName name="Z_F2D042F0_2606_11D1_BD91_0020AF42250B_.wvu.Cols" hidden="1">'[17]Min Rent'!$B$1:$C$65536,'[17]Min Rent'!$F$1:$AA$65536,'[17]Min Rent'!#REF!</definedName>
    <definedName name="Z_F2D042F2_2606_11D1_BD91_0020AF42250B_.wvu.Cols" hidden="1">'[17]Min Rent'!$C$1:$C$65536,'[17]Min Rent'!#REF!,'[17]Min Rent'!#REF!,'[17]Min Rent'!#REF!</definedName>
    <definedName name="Z_F2D042F3_2606_11D1_BD91_0020AF42250B_.wvu.Cols" hidden="1">'[17]Min Rent'!$B$1:$C$65536,'[17]Min Rent'!$F$1:$F$65536,'[17]Min Rent'!$H$1:$AA$65536</definedName>
    <definedName name="Z_F2D042F4_2606_11D1_BD91_0020AF42250B_.wvu.Cols" hidden="1">'[17]Min Rent'!$B$1:$C$65536,'[17]Min Rent'!#REF!</definedName>
    <definedName name="Z_F2D042F5_2606_11D1_BD91_0020AF42250B_.wvu.Cols" hidden="1">'[17]Min Rent'!$B$1:$C$65536,'[17]Min Rent'!$I$1:$AA$65536,'[17]Min Rent'!#REF!</definedName>
    <definedName name="Z_F2D042F6_2606_11D1_BD91_0020AF42250B_.wvu.Cols" hidden="1">'[17]Min Rent'!$B$1:$C$65536,'[17]Min Rent'!$F$1:$AA$65536,'[17]Min Rent'!#REF!,'[17]Min Rent'!#REF!</definedName>
    <definedName name="Z_F2D042FB_2606_11D1_BD91_0020AF42250B_.wvu.Cols" hidden="1">'[17]Min Rent'!$B$1:$C$65536,'[17]Min Rent'!$F$1:$AA$65536,'[17]Min Rent'!#REF!</definedName>
    <definedName name="Z_F2D042FC_2606_11D1_BD91_0020AF42250B_.wvu.Cols" hidden="1">'[17]Min Rent'!$B$1:$C$65536,'[17]Min Rent'!$F$1:$AA$65536,'[17]Min Rent'!#REF!</definedName>
    <definedName name="Z_FAFA6ED0_0531_11D1_BD56_0020AF42250B_.wvu.Cols" hidden="1">'[17]Min Rent'!$B$1:$C$65536,'[17]Min Rent'!$F$1:$AA$65536,'[17]Min Rent'!#REF!,'[17]Min Rent'!#REF!</definedName>
    <definedName name="Z_FAFA6ED0_0531_11D1_BD56_0020AF42250B_.wvu.PrintArea" hidden="1">#REF!</definedName>
    <definedName name="Z_FAFA6ED0_0531_11D1_BD56_0020AF42250B_.wvu.PrintTitles" hidden="1">#REF!</definedName>
    <definedName name="Z_FAFA6ED1_0531_11D1_BD56_0020AF42250B_.wvu.Cols" hidden="1">'[17]Min Rent'!$B$1:$C$65536,'[17]Min Rent'!$F$1:$F$65536,'[17]Min Rent'!$H$1:$AA$65536</definedName>
    <definedName name="Z_FAFA6ED1_0531_11D1_BD56_0020AF42250B_.wvu.PrintArea" hidden="1">#REF!</definedName>
    <definedName name="Z_FAFA6ED1_0531_11D1_BD56_0020AF42250B_.wvu.PrintTitles" hidden="1">#REF!</definedName>
    <definedName name="zxc" hidden="1">{"mgmt forecast",#N/A,FALSE,"Mgmt Forecast";"dcf table",#N/A,FALSE,"Mgmt Forecast";"sensitivity",#N/A,FALSE,"Mgmt Forecast";"table inputs",#N/A,FALSE,"Mgmt Forecast";"calculations",#N/A,FALSE,"Mgmt Forecast"}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8" l="1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3" i="8"/>
  <c r="I24" i="8"/>
  <c r="J24" i="8" s="1"/>
  <c r="I25" i="8"/>
  <c r="J25" i="8" s="1"/>
  <c r="I26" i="8"/>
  <c r="J26" i="8" s="1"/>
  <c r="I27" i="8"/>
  <c r="J27" i="8" s="1"/>
  <c r="I28" i="8"/>
  <c r="J28" i="8" s="1"/>
  <c r="I29" i="8"/>
  <c r="J29" i="8" s="1"/>
  <c r="I30" i="8"/>
  <c r="J30" i="8" s="1"/>
  <c r="I31" i="8"/>
  <c r="J31" i="8" s="1"/>
  <c r="I32" i="8"/>
  <c r="J32" i="8" s="1"/>
  <c r="I33" i="8"/>
  <c r="J33" i="8" s="1"/>
  <c r="I34" i="8"/>
  <c r="J34" i="8" s="1"/>
  <c r="I35" i="8"/>
  <c r="J35" i="8" s="1"/>
  <c r="I36" i="8"/>
  <c r="J36" i="8" s="1"/>
  <c r="I37" i="8"/>
  <c r="J37" i="8" s="1"/>
  <c r="I38" i="8"/>
  <c r="J38" i="8" s="1"/>
  <c r="I39" i="8"/>
  <c r="J39" i="8" s="1"/>
  <c r="I40" i="8"/>
  <c r="J40" i="8" s="1"/>
  <c r="I41" i="8"/>
  <c r="J41" i="8" s="1"/>
  <c r="I42" i="8"/>
  <c r="J42" i="8" s="1"/>
  <c r="I23" i="8"/>
  <c r="J23" i="8" s="1"/>
  <c r="J44" i="7"/>
  <c r="J4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23" i="7"/>
  <c r="J3" i="3"/>
  <c r="E3" i="3"/>
  <c r="H3" i="3"/>
  <c r="I42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23" i="3"/>
  <c r="E3" i="7"/>
  <c r="H3" i="7"/>
  <c r="E3" i="8"/>
  <c r="H42" i="8"/>
  <c r="G42" i="8"/>
  <c r="C42" i="8"/>
  <c r="H41" i="8"/>
  <c r="G41" i="8"/>
  <c r="C41" i="8"/>
  <c r="H40" i="8"/>
  <c r="G40" i="8"/>
  <c r="C40" i="8"/>
  <c r="H39" i="8"/>
  <c r="G39" i="8"/>
  <c r="C39" i="8"/>
  <c r="H38" i="8"/>
  <c r="G38" i="8"/>
  <c r="C38" i="8"/>
  <c r="H37" i="8"/>
  <c r="G37" i="8"/>
  <c r="C37" i="8"/>
  <c r="H36" i="8"/>
  <c r="G36" i="8"/>
  <c r="C36" i="8"/>
  <c r="H35" i="8"/>
  <c r="G35" i="8"/>
  <c r="C35" i="8"/>
  <c r="H34" i="8"/>
  <c r="G34" i="8"/>
  <c r="C34" i="8"/>
  <c r="H33" i="8"/>
  <c r="G33" i="8"/>
  <c r="C33" i="8"/>
  <c r="H32" i="8"/>
  <c r="G32" i="8"/>
  <c r="C32" i="8"/>
  <c r="H31" i="8"/>
  <c r="G31" i="8"/>
  <c r="C31" i="8"/>
  <c r="H30" i="8"/>
  <c r="G30" i="8"/>
  <c r="C30" i="8"/>
  <c r="H29" i="8"/>
  <c r="G29" i="8"/>
  <c r="C29" i="8"/>
  <c r="H28" i="8"/>
  <c r="G28" i="8"/>
  <c r="C28" i="8"/>
  <c r="H27" i="8"/>
  <c r="G27" i="8"/>
  <c r="C27" i="8"/>
  <c r="H26" i="8"/>
  <c r="G26" i="8"/>
  <c r="C26" i="8"/>
  <c r="H25" i="8"/>
  <c r="G25" i="8"/>
  <c r="C25" i="8"/>
  <c r="H24" i="8"/>
  <c r="G24" i="8"/>
  <c r="C24" i="8"/>
  <c r="H23" i="8"/>
  <c r="G23" i="8"/>
  <c r="C23" i="8"/>
  <c r="H22" i="8"/>
  <c r="G22" i="8"/>
  <c r="C22" i="8"/>
  <c r="H21" i="8"/>
  <c r="G21" i="8"/>
  <c r="C21" i="8"/>
  <c r="H20" i="8"/>
  <c r="G20" i="8"/>
  <c r="C20" i="8"/>
  <c r="H19" i="8"/>
  <c r="G19" i="8"/>
  <c r="C19" i="8"/>
  <c r="H18" i="8"/>
  <c r="G18" i="8"/>
  <c r="C18" i="8"/>
  <c r="H17" i="8"/>
  <c r="G17" i="8"/>
  <c r="C17" i="8"/>
  <c r="H16" i="8"/>
  <c r="G16" i="8"/>
  <c r="C16" i="8"/>
  <c r="H15" i="8"/>
  <c r="G15" i="8"/>
  <c r="C15" i="8"/>
  <c r="H14" i="8"/>
  <c r="G14" i="8"/>
  <c r="C14" i="8"/>
  <c r="H13" i="8"/>
  <c r="G13" i="8"/>
  <c r="C13" i="8"/>
  <c r="H12" i="8"/>
  <c r="G12" i="8"/>
  <c r="C12" i="8"/>
  <c r="H11" i="8"/>
  <c r="G11" i="8"/>
  <c r="C11" i="8"/>
  <c r="H10" i="8"/>
  <c r="G10" i="8"/>
  <c r="C10" i="8"/>
  <c r="H9" i="8"/>
  <c r="G9" i="8"/>
  <c r="C9" i="8"/>
  <c r="H8" i="8"/>
  <c r="G8" i="8"/>
  <c r="C8" i="8"/>
  <c r="H7" i="8"/>
  <c r="G7" i="8"/>
  <c r="C7" i="8"/>
  <c r="H6" i="8"/>
  <c r="G6" i="8"/>
  <c r="C6" i="8"/>
  <c r="H5" i="8"/>
  <c r="G5" i="8"/>
  <c r="C5" i="8"/>
  <c r="H4" i="8"/>
  <c r="G4" i="8"/>
  <c r="B4" i="8"/>
  <c r="B5" i="8" s="1"/>
  <c r="H3" i="8"/>
  <c r="H43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J43" i="8" l="1"/>
  <c r="J44" i="8" s="1"/>
  <c r="G43" i="8"/>
  <c r="B6" i="8"/>
  <c r="E5" i="8"/>
  <c r="E4" i="8"/>
  <c r="D43" i="8"/>
  <c r="E6" i="8" l="1"/>
  <c r="B7" i="8"/>
  <c r="B8" i="8" l="1"/>
  <c r="E7" i="8"/>
  <c r="E8" i="8" l="1"/>
  <c r="B9" i="8"/>
  <c r="E9" i="8" l="1"/>
  <c r="B10" i="8"/>
  <c r="B11" i="8" l="1"/>
  <c r="E10" i="8"/>
  <c r="E11" i="8" l="1"/>
  <c r="B12" i="8"/>
  <c r="E12" i="8" l="1"/>
  <c r="B13" i="8"/>
  <c r="E13" i="8" l="1"/>
  <c r="B14" i="8"/>
  <c r="B15" i="8" l="1"/>
  <c r="E14" i="8"/>
  <c r="B16" i="8" l="1"/>
  <c r="E15" i="8"/>
  <c r="E16" i="8" l="1"/>
  <c r="B17" i="8"/>
  <c r="E17" i="8" l="1"/>
  <c r="B18" i="8"/>
  <c r="B19" i="8" l="1"/>
  <c r="E18" i="8"/>
  <c r="B20" i="8" l="1"/>
  <c r="E19" i="8"/>
  <c r="B21" i="8" l="1"/>
  <c r="E20" i="8"/>
  <c r="E21" i="8" l="1"/>
  <c r="B22" i="8"/>
  <c r="B23" i="8" l="1"/>
  <c r="E22" i="8"/>
  <c r="E23" i="8" l="1"/>
  <c r="B24" i="8"/>
  <c r="E24" i="8" l="1"/>
  <c r="B25" i="8"/>
  <c r="B26" i="8" l="1"/>
  <c r="E25" i="8"/>
  <c r="B27" i="8" l="1"/>
  <c r="E26" i="8"/>
  <c r="E27" i="8" l="1"/>
  <c r="B28" i="8"/>
  <c r="B29" i="8" l="1"/>
  <c r="E28" i="8"/>
  <c r="E29" i="8" l="1"/>
  <c r="B30" i="8"/>
  <c r="E30" i="8" l="1"/>
  <c r="B31" i="8"/>
  <c r="B32" i="8" l="1"/>
  <c r="E31" i="8"/>
  <c r="B33" i="8" l="1"/>
  <c r="E32" i="8"/>
  <c r="E33" i="8" l="1"/>
  <c r="B34" i="8"/>
  <c r="B35" i="8" l="1"/>
  <c r="E34" i="8"/>
  <c r="E35" i="8" l="1"/>
  <c r="B36" i="8"/>
  <c r="E36" i="8" l="1"/>
  <c r="B37" i="8"/>
  <c r="B38" i="8" l="1"/>
  <c r="E37" i="8"/>
  <c r="E38" i="8" l="1"/>
  <c r="B39" i="8"/>
  <c r="E39" i="8" l="1"/>
  <c r="B40" i="8"/>
  <c r="B41" i="8" l="1"/>
  <c r="E40" i="8"/>
  <c r="B42" i="8" l="1"/>
  <c r="E41" i="8"/>
  <c r="E42" i="8" l="1"/>
  <c r="E43" i="8" s="1"/>
  <c r="H44" i="8" s="1"/>
  <c r="B43" i="8"/>
  <c r="H42" i="7" l="1"/>
  <c r="G42" i="7"/>
  <c r="C42" i="7"/>
  <c r="H41" i="7"/>
  <c r="G41" i="7"/>
  <c r="C41" i="7"/>
  <c r="H40" i="7"/>
  <c r="G40" i="7"/>
  <c r="C40" i="7"/>
  <c r="H39" i="7"/>
  <c r="G39" i="7"/>
  <c r="C39" i="7"/>
  <c r="H38" i="7"/>
  <c r="G38" i="7"/>
  <c r="C38" i="7"/>
  <c r="H37" i="7"/>
  <c r="G37" i="7"/>
  <c r="C37" i="7"/>
  <c r="H36" i="7"/>
  <c r="G36" i="7"/>
  <c r="C36" i="7"/>
  <c r="H35" i="7"/>
  <c r="G35" i="7"/>
  <c r="C35" i="7"/>
  <c r="H34" i="7"/>
  <c r="G34" i="7"/>
  <c r="C34" i="7"/>
  <c r="H33" i="7"/>
  <c r="G33" i="7"/>
  <c r="C33" i="7"/>
  <c r="H32" i="7"/>
  <c r="G32" i="7"/>
  <c r="C32" i="7"/>
  <c r="H31" i="7"/>
  <c r="G31" i="7"/>
  <c r="C31" i="7"/>
  <c r="H30" i="7"/>
  <c r="G30" i="7"/>
  <c r="C30" i="7"/>
  <c r="H29" i="7"/>
  <c r="G29" i="7"/>
  <c r="C29" i="7"/>
  <c r="H28" i="7"/>
  <c r="G28" i="7"/>
  <c r="C28" i="7"/>
  <c r="H27" i="7"/>
  <c r="G27" i="7"/>
  <c r="C27" i="7"/>
  <c r="H26" i="7"/>
  <c r="G26" i="7"/>
  <c r="C26" i="7"/>
  <c r="H25" i="7"/>
  <c r="G25" i="7"/>
  <c r="C25" i="7"/>
  <c r="H24" i="7"/>
  <c r="G24" i="7"/>
  <c r="C24" i="7"/>
  <c r="H23" i="7"/>
  <c r="G23" i="7"/>
  <c r="C23" i="7"/>
  <c r="H22" i="7"/>
  <c r="G22" i="7"/>
  <c r="C22" i="7"/>
  <c r="H21" i="7"/>
  <c r="G21" i="7"/>
  <c r="C21" i="7"/>
  <c r="H20" i="7"/>
  <c r="G20" i="7"/>
  <c r="C20" i="7"/>
  <c r="H19" i="7"/>
  <c r="G19" i="7"/>
  <c r="C19" i="7"/>
  <c r="H18" i="7"/>
  <c r="G18" i="7"/>
  <c r="C18" i="7"/>
  <c r="H17" i="7"/>
  <c r="G17" i="7"/>
  <c r="C17" i="7"/>
  <c r="H16" i="7"/>
  <c r="G16" i="7"/>
  <c r="C16" i="7"/>
  <c r="H15" i="7"/>
  <c r="G15" i="7"/>
  <c r="C15" i="7"/>
  <c r="H14" i="7"/>
  <c r="G14" i="7"/>
  <c r="C14" i="7"/>
  <c r="H13" i="7"/>
  <c r="G13" i="7"/>
  <c r="C13" i="7"/>
  <c r="H12" i="7"/>
  <c r="G12" i="7"/>
  <c r="C12" i="7"/>
  <c r="H11" i="7"/>
  <c r="G11" i="7"/>
  <c r="C11" i="7"/>
  <c r="H10" i="7"/>
  <c r="G10" i="7"/>
  <c r="C10" i="7"/>
  <c r="H9" i="7"/>
  <c r="G9" i="7"/>
  <c r="C9" i="7"/>
  <c r="H8" i="7"/>
  <c r="G8" i="7"/>
  <c r="C8" i="7"/>
  <c r="H7" i="7"/>
  <c r="G7" i="7"/>
  <c r="C7" i="7"/>
  <c r="H6" i="7"/>
  <c r="G6" i="7"/>
  <c r="C6" i="7"/>
  <c r="H5" i="7"/>
  <c r="G5" i="7"/>
  <c r="C5" i="7"/>
  <c r="H4" i="7"/>
  <c r="G4" i="7"/>
  <c r="B4" i="7"/>
  <c r="E4" i="7" s="1"/>
  <c r="D3" i="7"/>
  <c r="C12" i="3"/>
  <c r="G12" i="3"/>
  <c r="H12" i="3"/>
  <c r="C13" i="3"/>
  <c r="G13" i="3"/>
  <c r="H13" i="3"/>
  <c r="C14" i="3"/>
  <c r="G14" i="3"/>
  <c r="H14" i="3"/>
  <c r="C15" i="3"/>
  <c r="G15" i="3"/>
  <c r="H15" i="3"/>
  <c r="C16" i="3"/>
  <c r="G16" i="3"/>
  <c r="H16" i="3"/>
  <c r="C17" i="3"/>
  <c r="G17" i="3"/>
  <c r="H17" i="3"/>
  <c r="G5" i="3"/>
  <c r="G6" i="3"/>
  <c r="G7" i="3"/>
  <c r="G8" i="3"/>
  <c r="G9" i="3"/>
  <c r="G10" i="3"/>
  <c r="G11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" i="3"/>
  <c r="H4" i="3"/>
  <c r="H5" i="3"/>
  <c r="H6" i="3"/>
  <c r="H7" i="3"/>
  <c r="H8" i="3"/>
  <c r="H9" i="3"/>
  <c r="H10" i="3"/>
  <c r="H11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1" i="3"/>
  <c r="C10" i="3"/>
  <c r="C9" i="3"/>
  <c r="C8" i="3"/>
  <c r="C7" i="3"/>
  <c r="C6" i="3"/>
  <c r="C5" i="3"/>
  <c r="B4" i="3"/>
  <c r="J4" i="3" s="1"/>
  <c r="D3" i="3"/>
  <c r="D4" i="7" l="1"/>
  <c r="H43" i="7"/>
  <c r="G43" i="7"/>
  <c r="D5" i="7"/>
  <c r="B5" i="7"/>
  <c r="G43" i="3"/>
  <c r="H43" i="3"/>
  <c r="D4" i="3"/>
  <c r="E4" i="3"/>
  <c r="B5" i="3"/>
  <c r="J5" i="3" s="1"/>
  <c r="D6" i="7" l="1"/>
  <c r="E5" i="7"/>
  <c r="B6" i="7"/>
  <c r="D5" i="3"/>
  <c r="D6" i="3" s="1"/>
  <c r="E5" i="3"/>
  <c r="B6" i="3"/>
  <c r="J6" i="3" s="1"/>
  <c r="D7" i="7" l="1"/>
  <c r="B7" i="7"/>
  <c r="E6" i="7"/>
  <c r="D7" i="3"/>
  <c r="D8" i="3" s="1"/>
  <c r="D9" i="3" s="1"/>
  <c r="D10" i="3" s="1"/>
  <c r="D11" i="3" s="1"/>
  <c r="B7" i="3"/>
  <c r="J7" i="3" s="1"/>
  <c r="E6" i="3"/>
  <c r="D8" i="7" l="1"/>
  <c r="E7" i="7"/>
  <c r="B8" i="7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E7" i="3"/>
  <c r="B8" i="3"/>
  <c r="J8" i="3" s="1"/>
  <c r="D9" i="7" l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/>
  <c r="B9" i="7"/>
  <c r="E8" i="7"/>
  <c r="D43" i="3"/>
  <c r="B9" i="3"/>
  <c r="J9" i="3" s="1"/>
  <c r="E8" i="3"/>
  <c r="E9" i="7" l="1"/>
  <c r="B10" i="7"/>
  <c r="E9" i="3"/>
  <c r="B10" i="3"/>
  <c r="J10" i="3" s="1"/>
  <c r="B11" i="7" l="1"/>
  <c r="E10" i="7"/>
  <c r="E10" i="3"/>
  <c r="B11" i="3"/>
  <c r="B12" i="3" l="1"/>
  <c r="J12" i="3" s="1"/>
  <c r="J11" i="3"/>
  <c r="E11" i="7"/>
  <c r="B12" i="7"/>
  <c r="B13" i="3"/>
  <c r="J13" i="3" s="1"/>
  <c r="E12" i="3"/>
  <c r="E11" i="3"/>
  <c r="B13" i="7" l="1"/>
  <c r="E12" i="7"/>
  <c r="B14" i="3"/>
  <c r="J14" i="3" s="1"/>
  <c r="E13" i="3"/>
  <c r="E13" i="7" l="1"/>
  <c r="B14" i="7"/>
  <c r="E14" i="3"/>
  <c r="B15" i="3"/>
  <c r="J15" i="3" s="1"/>
  <c r="B15" i="7" l="1"/>
  <c r="E14" i="7"/>
  <c r="B16" i="3"/>
  <c r="J16" i="3" s="1"/>
  <c r="E15" i="3"/>
  <c r="E15" i="7" l="1"/>
  <c r="B16" i="7"/>
  <c r="E16" i="3"/>
  <c r="B17" i="3"/>
  <c r="E17" i="3" l="1"/>
  <c r="J17" i="3"/>
  <c r="B17" i="7"/>
  <c r="E16" i="7"/>
  <c r="B18" i="3"/>
  <c r="J18" i="3" s="1"/>
  <c r="E17" i="7" l="1"/>
  <c r="B18" i="7"/>
  <c r="B19" i="3"/>
  <c r="J19" i="3" s="1"/>
  <c r="E18" i="3"/>
  <c r="B19" i="7" l="1"/>
  <c r="E18" i="7"/>
  <c r="B20" i="3"/>
  <c r="J20" i="3" s="1"/>
  <c r="E19" i="3"/>
  <c r="E19" i="7" l="1"/>
  <c r="B20" i="7"/>
  <c r="B21" i="3"/>
  <c r="J21" i="3" s="1"/>
  <c r="E20" i="3"/>
  <c r="B21" i="7" l="1"/>
  <c r="E20" i="7"/>
  <c r="B22" i="3"/>
  <c r="J22" i="3" s="1"/>
  <c r="E21" i="3"/>
  <c r="E21" i="7" l="1"/>
  <c r="B22" i="7"/>
  <c r="E22" i="3"/>
  <c r="B23" i="3"/>
  <c r="J23" i="3" s="1"/>
  <c r="B23" i="7" l="1"/>
  <c r="E22" i="7"/>
  <c r="B24" i="3"/>
  <c r="J24" i="3" s="1"/>
  <c r="E23" i="3"/>
  <c r="E23" i="7" l="1"/>
  <c r="B24" i="7"/>
  <c r="B25" i="3"/>
  <c r="J25" i="3" s="1"/>
  <c r="E24" i="3"/>
  <c r="B25" i="7" l="1"/>
  <c r="E24" i="7"/>
  <c r="E25" i="3"/>
  <c r="B26" i="3"/>
  <c r="J26" i="3" s="1"/>
  <c r="E25" i="7" l="1"/>
  <c r="B26" i="7"/>
  <c r="E26" i="3"/>
  <c r="B27" i="3"/>
  <c r="J27" i="3" s="1"/>
  <c r="B27" i="7" l="1"/>
  <c r="E26" i="7"/>
  <c r="B28" i="3"/>
  <c r="J28" i="3" s="1"/>
  <c r="E27" i="3"/>
  <c r="E27" i="7" l="1"/>
  <c r="B28" i="7"/>
  <c r="B29" i="3"/>
  <c r="J29" i="3" s="1"/>
  <c r="E28" i="3"/>
  <c r="B29" i="7" l="1"/>
  <c r="E28" i="7"/>
  <c r="E29" i="3"/>
  <c r="B30" i="3"/>
  <c r="J30" i="3" s="1"/>
  <c r="E29" i="7" l="1"/>
  <c r="B30" i="7"/>
  <c r="B31" i="3"/>
  <c r="J31" i="3" s="1"/>
  <c r="E30" i="3"/>
  <c r="B31" i="7" l="1"/>
  <c r="E30" i="7"/>
  <c r="B32" i="3"/>
  <c r="J32" i="3" s="1"/>
  <c r="E31" i="3"/>
  <c r="E31" i="7" l="1"/>
  <c r="B32" i="7"/>
  <c r="B33" i="3"/>
  <c r="J33" i="3" s="1"/>
  <c r="E32" i="3"/>
  <c r="B33" i="7" l="1"/>
  <c r="E32" i="7"/>
  <c r="B34" i="3"/>
  <c r="J34" i="3" s="1"/>
  <c r="E33" i="3"/>
  <c r="E33" i="7" l="1"/>
  <c r="B34" i="7"/>
  <c r="B35" i="3"/>
  <c r="J35" i="3" s="1"/>
  <c r="E34" i="3"/>
  <c r="B35" i="7" l="1"/>
  <c r="E34" i="7"/>
  <c r="B36" i="3"/>
  <c r="J36" i="3" s="1"/>
  <c r="E35" i="3"/>
  <c r="E35" i="7" l="1"/>
  <c r="B36" i="7"/>
  <c r="B37" i="3"/>
  <c r="J37" i="3" s="1"/>
  <c r="E36" i="3"/>
  <c r="B37" i="7" l="1"/>
  <c r="E36" i="7"/>
  <c r="B38" i="3"/>
  <c r="J38" i="3" s="1"/>
  <c r="E37" i="3"/>
  <c r="E37" i="7" l="1"/>
  <c r="B38" i="7"/>
  <c r="E38" i="3"/>
  <c r="B39" i="3"/>
  <c r="J39" i="3" s="1"/>
  <c r="B39" i="7" l="1"/>
  <c r="E38" i="7"/>
  <c r="B40" i="3"/>
  <c r="J40" i="3" s="1"/>
  <c r="E39" i="3"/>
  <c r="E39" i="7" l="1"/>
  <c r="B40" i="7"/>
  <c r="B41" i="3"/>
  <c r="J41" i="3" s="1"/>
  <c r="E40" i="3"/>
  <c r="B41" i="7" l="1"/>
  <c r="E40" i="7"/>
  <c r="B42" i="3"/>
  <c r="J42" i="3" s="1"/>
  <c r="J43" i="3" s="1"/>
  <c r="E41" i="3"/>
  <c r="E41" i="7" l="1"/>
  <c r="B42" i="7"/>
  <c r="E42" i="3"/>
  <c r="E43" i="3" s="1"/>
  <c r="B43" i="3"/>
  <c r="H44" i="3" l="1"/>
  <c r="J44" i="3"/>
  <c r="E42" i="7"/>
  <c r="E43" i="7" s="1"/>
  <c r="H44" i="7" s="1"/>
  <c r="B43" i="7"/>
</calcChain>
</file>

<file path=xl/sharedStrings.xml><?xml version="1.0" encoding="utf-8"?>
<sst xmlns="http://schemas.openxmlformats.org/spreadsheetml/2006/main" count="549" uniqueCount="158">
  <si>
    <t>WattTime MOER</t>
  </si>
  <si>
    <t>TCR LMER</t>
  </si>
  <si>
    <t>TCR LMER (MWh)</t>
  </si>
  <si>
    <t xml:space="preserve">Year </t>
  </si>
  <si>
    <t>Total MWh produced</t>
  </si>
  <si>
    <t>Degradation Factor</t>
  </si>
  <si>
    <t>Pecentage of Max Production</t>
  </si>
  <si>
    <t>Estimated Carbon Reduction (t CO2)</t>
  </si>
  <si>
    <t>TCR LMER (SOCO: Alabama Power)</t>
  </si>
  <si>
    <t>Pecentage of Initial LMER</t>
  </si>
  <si>
    <t>TCR Carbon Reduction</t>
  </si>
  <si>
    <t xml:space="preserve">SCENARIO </t>
  </si>
  <si>
    <t xml:space="preserve">Project Name </t>
  </si>
  <si>
    <t>SR CL Bear Creek</t>
  </si>
  <si>
    <t>Location</t>
  </si>
  <si>
    <t>Bear Creek, Alabama</t>
  </si>
  <si>
    <t>Total Capacity Nameplate (Watts DC)</t>
  </si>
  <si>
    <t>MOER lbs CO2/ MWh (2025)</t>
  </si>
  <si>
    <t xml:space="preserve">Year 1 Generation per MWh  / MW </t>
  </si>
  <si>
    <t xml:space="preserve">Total </t>
  </si>
  <si>
    <t>TCR LMER (MW)</t>
  </si>
  <si>
    <t>TCR LMER (TVA)</t>
  </si>
  <si>
    <t>SR CL Jackson</t>
  </si>
  <si>
    <t>Jackson, TN</t>
  </si>
  <si>
    <t>Year 1 Generation per MWh / MW</t>
  </si>
  <si>
    <t>TCR LMER (MT/MW)</t>
  </si>
  <si>
    <t>TCR LMER (MT/MWh)</t>
  </si>
  <si>
    <t>TCR LMER (MISO_Entergy_LA_TX)</t>
  </si>
  <si>
    <t>SR CL Arcadia South</t>
  </si>
  <si>
    <t>Arcadia, Louisiana</t>
  </si>
  <si>
    <t xml:space="preserve">Year 1 Generation per MWh / MW </t>
  </si>
  <si>
    <t>Avg Implied PV LMER (Metric Ton CO2/MWh)</t>
  </si>
  <si>
    <t>Market</t>
  </si>
  <si>
    <t>ERCOT</t>
  </si>
  <si>
    <t>ISONE</t>
  </si>
  <si>
    <t>MISO</t>
  </si>
  <si>
    <t>NYISO</t>
  </si>
  <si>
    <t>PJM</t>
  </si>
  <si>
    <t>Southeast</t>
  </si>
  <si>
    <t>SPP</t>
  </si>
  <si>
    <t>SubZone</t>
  </si>
  <si>
    <t>WZ_COAST</t>
  </si>
  <si>
    <t>WZ_EAST</t>
  </si>
  <si>
    <t>WZ_FAR_WEST</t>
  </si>
  <si>
    <t>WZ_NORTH</t>
  </si>
  <si>
    <t>WZ_NORTH_CENTRAL</t>
  </si>
  <si>
    <t>WZ_SOUTH_CENTRAL</t>
  </si>
  <si>
    <t>WZ_SOUTHERN</t>
  </si>
  <si>
    <t>WZ_WEST</t>
  </si>
  <si>
    <t>CT</t>
  </si>
  <si>
    <t>ME</t>
  </si>
  <si>
    <t>NH</t>
  </si>
  <si>
    <t>NMABO</t>
  </si>
  <si>
    <t>RI</t>
  </si>
  <si>
    <t>SEMA</t>
  </si>
  <si>
    <t>VT</t>
  </si>
  <si>
    <t>WCMA</t>
  </si>
  <si>
    <t>ALTE</t>
  </si>
  <si>
    <t>ALTW</t>
  </si>
  <si>
    <t>AMIL</t>
  </si>
  <si>
    <t>AMMO</t>
  </si>
  <si>
    <t>BREC</t>
  </si>
  <si>
    <t>CLECO</t>
  </si>
  <si>
    <t>CON</t>
  </si>
  <si>
    <t>DECO</t>
  </si>
  <si>
    <t>DEI</t>
  </si>
  <si>
    <t>DPC</t>
  </si>
  <si>
    <t>EAI</t>
  </si>
  <si>
    <t>EES-LA-TX</t>
  </si>
  <si>
    <t>EES-MS-AR</t>
  </si>
  <si>
    <t>GRE</t>
  </si>
  <si>
    <t>HE</t>
  </si>
  <si>
    <t>IPL</t>
  </si>
  <si>
    <t>LAFA</t>
  </si>
  <si>
    <t>MDU</t>
  </si>
  <si>
    <t>MEC</t>
  </si>
  <si>
    <t>MGE</t>
  </si>
  <si>
    <t>MP</t>
  </si>
  <si>
    <t>NIPS</t>
  </si>
  <si>
    <t>NSP</t>
  </si>
  <si>
    <t>OTP</t>
  </si>
  <si>
    <t>SIGE</t>
  </si>
  <si>
    <t>SIPC</t>
  </si>
  <si>
    <t>SME</t>
  </si>
  <si>
    <t>SMP</t>
  </si>
  <si>
    <t>UPPC</t>
  </si>
  <si>
    <t>WEC</t>
  </si>
  <si>
    <t>WPS</t>
  </si>
  <si>
    <t>A</t>
  </si>
  <si>
    <t>B</t>
  </si>
  <si>
    <t>C</t>
  </si>
  <si>
    <t>D</t>
  </si>
  <si>
    <t>E</t>
  </si>
  <si>
    <t>F</t>
  </si>
  <si>
    <t>G</t>
  </si>
  <si>
    <t>J</t>
  </si>
  <si>
    <t>K</t>
  </si>
  <si>
    <t>AE</t>
  </si>
  <si>
    <t>AEP</t>
  </si>
  <si>
    <t>APS</t>
  </si>
  <si>
    <t>ATSI</t>
  </si>
  <si>
    <t>BGE</t>
  </si>
  <si>
    <t>COMED</t>
  </si>
  <si>
    <t>DAY</t>
  </si>
  <si>
    <t>DEOK</t>
  </si>
  <si>
    <t>DOM</t>
  </si>
  <si>
    <t>DPL</t>
  </si>
  <si>
    <t>DQE</t>
  </si>
  <si>
    <t>EKPC</t>
  </si>
  <si>
    <t>JCPL</t>
  </si>
  <si>
    <t>METED</t>
  </si>
  <si>
    <t>PECO</t>
  </si>
  <si>
    <t>PENLC</t>
  </si>
  <si>
    <t>PEPCO</t>
  </si>
  <si>
    <t>PPL</t>
  </si>
  <si>
    <t>PSEG</t>
  </si>
  <si>
    <t>CPL</t>
  </si>
  <si>
    <t>DEF</t>
  </si>
  <si>
    <t>DUKE</t>
  </si>
  <si>
    <t>FMPP</t>
  </si>
  <si>
    <t>FPL</t>
  </si>
  <si>
    <t>GVL</t>
  </si>
  <si>
    <t>JEA</t>
  </si>
  <si>
    <t>RCU</t>
  </si>
  <si>
    <t>SC</t>
  </si>
  <si>
    <t>SCEG</t>
  </si>
  <si>
    <t>SEC</t>
  </si>
  <si>
    <t>SOCO</t>
  </si>
  <si>
    <t>TAL</t>
  </si>
  <si>
    <t>TECO</t>
  </si>
  <si>
    <t>TVA</t>
  </si>
  <si>
    <t>AEPW</t>
  </si>
  <si>
    <t>EDE</t>
  </si>
  <si>
    <t>GMO</t>
  </si>
  <si>
    <t>GRDA</t>
  </si>
  <si>
    <t>INDN</t>
  </si>
  <si>
    <t>KCPL</t>
  </si>
  <si>
    <t>LES</t>
  </si>
  <si>
    <t>MIDW</t>
  </si>
  <si>
    <t>NPPD</t>
  </si>
  <si>
    <t>OKGE</t>
  </si>
  <si>
    <t>OPPD</t>
  </si>
  <si>
    <t>SECI</t>
  </si>
  <si>
    <t>SPRM</t>
  </si>
  <si>
    <t>SPS</t>
  </si>
  <si>
    <t>WAPA</t>
  </si>
  <si>
    <t>WFEC</t>
  </si>
  <si>
    <t>WR</t>
  </si>
  <si>
    <t>SE States</t>
  </si>
  <si>
    <t>AL</t>
  </si>
  <si>
    <t>FL</t>
  </si>
  <si>
    <t>GA</t>
  </si>
  <si>
    <t>KY</t>
  </si>
  <si>
    <t>MS</t>
  </si>
  <si>
    <t>NC</t>
  </si>
  <si>
    <t>TN</t>
  </si>
  <si>
    <t>PV Based Annual LMER Metric (Metric Ton CO2/MW)</t>
  </si>
  <si>
    <t>Extrapolated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</si>
</sst>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8" formatCode="_(* #,##0.0000_);_(* \(#,##0.00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</font>
    <font>
      <sz val="11"/>
      <color rgb="FFC00000"/>
      <name val="Aptos Narrow"/>
      <family val="2"/>
    </font>
    <font>
      <b/>
      <sz val="11"/>
      <color theme="0"/>
      <name val="Aptos Narrow"/>
      <family val="2"/>
    </font>
    <font>
      <b/>
      <sz val="11"/>
      <color theme="1"/>
      <name val="Aptos Narrow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3" applyFont="1"/>
    <xf numFmtId="0" fontId="2" fillId="0" borderId="0" xfId="3"/>
    <xf numFmtId="0" fontId="4" fillId="0" borderId="0" xfId="3" applyFont="1"/>
    <xf numFmtId="0" fontId="2" fillId="2" borderId="0" xfId="3" applyFill="1"/>
    <xf numFmtId="0" fontId="5" fillId="3" borderId="1" xfId="3" applyFont="1" applyFill="1" applyBorder="1"/>
    <xf numFmtId="0" fontId="2" fillId="4" borderId="0" xfId="3" applyFill="1"/>
    <xf numFmtId="43" fontId="0" fillId="0" borderId="0" xfId="4" applyFont="1"/>
    <xf numFmtId="43" fontId="4" fillId="0" borderId="0" xfId="4" applyFont="1"/>
    <xf numFmtId="43" fontId="2" fillId="0" borderId="0" xfId="3" applyNumberFormat="1"/>
    <xf numFmtId="0" fontId="5" fillId="0" borderId="1" xfId="3" applyFont="1" applyBorder="1"/>
    <xf numFmtId="0" fontId="6" fillId="4" borderId="0" xfId="3" applyFont="1" applyFill="1"/>
    <xf numFmtId="43" fontId="4" fillId="0" borderId="0" xfId="3" applyNumberFormat="1" applyFont="1"/>
    <xf numFmtId="0" fontId="6" fillId="4" borderId="2" xfId="3" applyFont="1" applyFill="1" applyBorder="1"/>
    <xf numFmtId="0" fontId="2" fillId="4" borderId="2" xfId="3" applyFill="1" applyBorder="1"/>
    <xf numFmtId="43" fontId="2" fillId="0" borderId="2" xfId="3" applyNumberFormat="1" applyBorder="1"/>
    <xf numFmtId="43" fontId="4" fillId="0" borderId="2" xfId="3" applyNumberFormat="1" applyFont="1" applyBorder="1"/>
    <xf numFmtId="2" fontId="4" fillId="0" borderId="0" xfId="3" applyNumberFormat="1" applyFont="1"/>
    <xf numFmtId="0" fontId="6" fillId="5" borderId="2" xfId="3" applyFont="1" applyFill="1" applyBorder="1"/>
    <xf numFmtId="0" fontId="2" fillId="5" borderId="2" xfId="3" applyFill="1" applyBorder="1"/>
    <xf numFmtId="43" fontId="2" fillId="5" borderId="2" xfId="3" applyNumberFormat="1" applyFill="1" applyBorder="1"/>
    <xf numFmtId="43" fontId="4" fillId="5" borderId="2" xfId="3" applyNumberFormat="1" applyFont="1" applyFill="1" applyBorder="1"/>
    <xf numFmtId="0" fontId="8" fillId="0" borderId="0" xfId="5" applyFont="1"/>
    <xf numFmtId="0" fontId="7" fillId="0" borderId="0" xfId="5"/>
    <xf numFmtId="0" fontId="10" fillId="0" borderId="0" xfId="5" applyFont="1" applyAlignment="1">
      <alignment horizontal="center"/>
    </xf>
    <xf numFmtId="165" fontId="7" fillId="0" borderId="0" xfId="1" applyNumberFormat="1" applyFont="1" applyBorder="1"/>
    <xf numFmtId="43" fontId="8" fillId="0" borderId="0" xfId="5" applyNumberFormat="1" applyFont="1"/>
    <xf numFmtId="9" fontId="7" fillId="0" borderId="0" xfId="5" applyNumberFormat="1"/>
    <xf numFmtId="164" fontId="7" fillId="6" borderId="0" xfId="2" applyNumberFormat="1" applyFont="1" applyFill="1" applyBorder="1"/>
    <xf numFmtId="43" fontId="8" fillId="6" borderId="0" xfId="5" applyNumberFormat="1" applyFont="1" applyFill="1"/>
    <xf numFmtId="164" fontId="8" fillId="6" borderId="0" xfId="5" applyNumberFormat="1" applyFont="1" applyFill="1"/>
    <xf numFmtId="0" fontId="10" fillId="6" borderId="6" xfId="5" applyFont="1" applyFill="1" applyBorder="1" applyAlignment="1">
      <alignment horizontal="center"/>
    </xf>
    <xf numFmtId="0" fontId="10" fillId="6" borderId="13" xfId="5" applyFont="1" applyFill="1" applyBorder="1" applyAlignment="1">
      <alignment horizontal="center"/>
    </xf>
    <xf numFmtId="0" fontId="10" fillId="6" borderId="7" xfId="5" applyFont="1" applyFill="1" applyBorder="1" applyAlignment="1">
      <alignment horizontal="center"/>
    </xf>
    <xf numFmtId="165" fontId="7" fillId="6" borderId="3" xfId="1" applyNumberFormat="1" applyFont="1" applyFill="1" applyBorder="1"/>
    <xf numFmtId="164" fontId="7" fillId="6" borderId="4" xfId="2" applyNumberFormat="1" applyFont="1" applyFill="1" applyBorder="1"/>
    <xf numFmtId="165" fontId="7" fillId="6" borderId="5" xfId="1" applyNumberFormat="1" applyFont="1" applyFill="1" applyBorder="1"/>
    <xf numFmtId="165" fontId="7" fillId="6" borderId="8" xfId="1" applyNumberFormat="1" applyFont="1" applyFill="1" applyBorder="1"/>
    <xf numFmtId="165" fontId="7" fillId="6" borderId="9" xfId="1" applyNumberFormat="1" applyFont="1" applyFill="1" applyBorder="1"/>
    <xf numFmtId="165" fontId="7" fillId="6" borderId="10" xfId="1" applyNumberFormat="1" applyFont="1" applyFill="1" applyBorder="1"/>
    <xf numFmtId="164" fontId="7" fillId="6" borderId="12" xfId="2" applyNumberFormat="1" applyFont="1" applyFill="1" applyBorder="1"/>
    <xf numFmtId="165" fontId="7" fillId="6" borderId="11" xfId="1" applyNumberFormat="1" applyFont="1" applyFill="1" applyBorder="1"/>
    <xf numFmtId="166" fontId="7" fillId="0" borderId="9" xfId="1" applyNumberFormat="1" applyFont="1" applyBorder="1"/>
    <xf numFmtId="166" fontId="7" fillId="0" borderId="11" xfId="1" applyNumberFormat="1" applyFont="1" applyBorder="1"/>
    <xf numFmtId="0" fontId="7" fillId="0" borderId="5" xfId="5" applyBorder="1" applyAlignment="1">
      <alignment horizontal="right"/>
    </xf>
    <xf numFmtId="0" fontId="7" fillId="0" borderId="9" xfId="5" applyBorder="1" applyAlignment="1">
      <alignment horizontal="right"/>
    </xf>
    <xf numFmtId="0" fontId="7" fillId="0" borderId="14" xfId="5" applyBorder="1"/>
    <xf numFmtId="0" fontId="7" fillId="0" borderId="15" xfId="5" applyBorder="1"/>
    <xf numFmtId="0" fontId="7" fillId="0" borderId="16" xfId="5" applyBorder="1"/>
    <xf numFmtId="43" fontId="12" fillId="6" borderId="0" xfId="5" applyNumberFormat="1" applyFont="1" applyFill="1"/>
    <xf numFmtId="164" fontId="13" fillId="0" borderId="0" xfId="2" applyNumberFormat="1" applyFont="1"/>
    <xf numFmtId="0" fontId="2" fillId="0" borderId="2" xfId="3" applyBorder="1"/>
    <xf numFmtId="0" fontId="9" fillId="7" borderId="3" xfId="5" applyFont="1" applyFill="1" applyBorder="1"/>
    <xf numFmtId="0" fontId="10" fillId="7" borderId="4" xfId="5" applyFont="1" applyFill="1" applyBorder="1" applyAlignment="1">
      <alignment horizontal="center"/>
    </xf>
    <xf numFmtId="0" fontId="10" fillId="7" borderId="13" xfId="5" applyFont="1" applyFill="1" applyBorder="1" applyAlignment="1"/>
    <xf numFmtId="0" fontId="11" fillId="7" borderId="3" xfId="5" applyFont="1" applyFill="1" applyBorder="1" applyAlignment="1">
      <alignment horizontal="right"/>
    </xf>
    <xf numFmtId="4" fontId="12" fillId="7" borderId="4" xfId="5" applyNumberFormat="1" applyFont="1" applyFill="1" applyBorder="1"/>
    <xf numFmtId="0" fontId="7" fillId="7" borderId="4" xfId="5" applyFill="1" applyBorder="1"/>
    <xf numFmtId="164" fontId="7" fillId="7" borderId="4" xfId="5" applyNumberFormat="1" applyFill="1" applyBorder="1"/>
    <xf numFmtId="165" fontId="7" fillId="7" borderId="5" xfId="1" applyNumberFormat="1" applyFont="1" applyFill="1" applyBorder="1"/>
    <xf numFmtId="0" fontId="11" fillId="7" borderId="8" xfId="5" applyFont="1" applyFill="1" applyBorder="1" applyAlignment="1">
      <alignment horizontal="right"/>
    </xf>
    <xf numFmtId="4" fontId="11" fillId="7" borderId="0" xfId="5" applyNumberFormat="1" applyFont="1" applyFill="1"/>
    <xf numFmtId="164" fontId="12" fillId="7" borderId="0" xfId="5" applyNumberFormat="1" applyFont="1" applyFill="1"/>
    <xf numFmtId="164" fontId="7" fillId="7" borderId="0" xfId="5" applyNumberFormat="1" applyFill="1"/>
    <xf numFmtId="165" fontId="7" fillId="7" borderId="9" xfId="1" applyNumberFormat="1" applyFont="1" applyFill="1" applyBorder="1"/>
    <xf numFmtId="164" fontId="11" fillId="7" borderId="0" xfId="5" applyNumberFormat="1" applyFont="1" applyFill="1"/>
    <xf numFmtId="0" fontId="11" fillId="7" borderId="10" xfId="5" applyFont="1" applyFill="1" applyBorder="1" applyAlignment="1">
      <alignment horizontal="right"/>
    </xf>
    <xf numFmtId="4" fontId="11" fillId="7" borderId="12" xfId="5" applyNumberFormat="1" applyFont="1" applyFill="1" applyBorder="1"/>
    <xf numFmtId="164" fontId="11" fillId="7" borderId="12" xfId="5" applyNumberFormat="1" applyFont="1" applyFill="1" applyBorder="1"/>
    <xf numFmtId="164" fontId="7" fillId="7" borderId="12" xfId="5" applyNumberFormat="1" applyFill="1" applyBorder="1"/>
    <xf numFmtId="165" fontId="7" fillId="7" borderId="11" xfId="1" applyNumberFormat="1" applyFont="1" applyFill="1" applyBorder="1"/>
    <xf numFmtId="0" fontId="8" fillId="7" borderId="0" xfId="5" applyFont="1" applyFill="1" applyAlignment="1">
      <alignment horizontal="center"/>
    </xf>
    <xf numFmtId="4" fontId="8" fillId="7" borderId="0" xfId="5" applyNumberFormat="1" applyFont="1" applyFill="1"/>
    <xf numFmtId="0" fontId="8" fillId="7" borderId="0" xfId="5" applyFont="1" applyFill="1"/>
    <xf numFmtId="164" fontId="8" fillId="7" borderId="0" xfId="5" applyNumberFormat="1" applyFont="1" applyFill="1"/>
    <xf numFmtId="43" fontId="12" fillId="7" borderId="0" xfId="5" applyNumberFormat="1" applyFont="1" applyFill="1"/>
    <xf numFmtId="0" fontId="6" fillId="7" borderId="0" xfId="3" applyFont="1" applyFill="1"/>
    <xf numFmtId="0" fontId="2" fillId="7" borderId="0" xfId="3" applyFill="1"/>
    <xf numFmtId="43" fontId="2" fillId="7" borderId="0" xfId="3" applyNumberFormat="1" applyFill="1"/>
    <xf numFmtId="43" fontId="4" fillId="7" borderId="0" xfId="3" applyNumberFormat="1" applyFont="1" applyFill="1"/>
    <xf numFmtId="0" fontId="8" fillId="7" borderId="6" xfId="5" applyFont="1" applyFill="1" applyBorder="1" applyAlignment="1">
      <alignment horizontal="center"/>
    </xf>
    <xf numFmtId="0" fontId="8" fillId="7" borderId="13" xfId="5" applyFont="1" applyFill="1" applyBorder="1" applyAlignment="1">
      <alignment horizontal="center"/>
    </xf>
    <xf numFmtId="0" fontId="8" fillId="7" borderId="7" xfId="5" applyFont="1" applyFill="1" applyBorder="1" applyAlignment="1">
      <alignment horizontal="center"/>
    </xf>
    <xf numFmtId="0" fontId="8" fillId="6" borderId="6" xfId="5" applyFont="1" applyFill="1" applyBorder="1" applyAlignment="1">
      <alignment horizontal="center"/>
    </xf>
    <xf numFmtId="0" fontId="8" fillId="6" borderId="13" xfId="5" applyFont="1" applyFill="1" applyBorder="1" applyAlignment="1">
      <alignment horizontal="center"/>
    </xf>
    <xf numFmtId="0" fontId="8" fillId="6" borderId="7" xfId="5" applyFont="1" applyFill="1" applyBorder="1" applyAlignment="1">
      <alignment horizontal="center"/>
    </xf>
    <xf numFmtId="0" fontId="8" fillId="7" borderId="6" xfId="5" applyFont="1" applyFill="1" applyBorder="1" applyAlignment="1">
      <alignment horizontal="center" vertical="center"/>
    </xf>
    <xf numFmtId="0" fontId="8" fillId="7" borderId="7" xfId="5" applyFont="1" applyFill="1" applyBorder="1" applyAlignment="1">
      <alignment horizontal="center" vertical="center"/>
    </xf>
    <xf numFmtId="165" fontId="7" fillId="6" borderId="0" xfId="1" applyNumberFormat="1" applyFont="1" applyFill="1" applyBorder="1"/>
    <xf numFmtId="0" fontId="10" fillId="6" borderId="19" xfId="5" applyFont="1" applyFill="1" applyBorder="1" applyAlignment="1">
      <alignment horizontal="center"/>
    </xf>
    <xf numFmtId="0" fontId="10" fillId="6" borderId="20" xfId="5" applyFont="1" applyFill="1" applyBorder="1" applyAlignment="1">
      <alignment horizontal="center"/>
    </xf>
    <xf numFmtId="165" fontId="7" fillId="6" borderId="21" xfId="1" applyNumberFormat="1" applyFont="1" applyFill="1" applyBorder="1"/>
    <xf numFmtId="165" fontId="7" fillId="6" borderId="24" xfId="1" applyNumberFormat="1" applyFont="1" applyFill="1" applyBorder="1"/>
    <xf numFmtId="165" fontId="7" fillId="6" borderId="4" xfId="1" applyNumberFormat="1" applyFont="1" applyFill="1" applyBorder="1"/>
    <xf numFmtId="165" fontId="7" fillId="6" borderId="12" xfId="1" applyNumberFormat="1" applyFont="1" applyFill="1" applyBorder="1"/>
    <xf numFmtId="0" fontId="8" fillId="6" borderId="17" xfId="5" applyFont="1" applyFill="1" applyBorder="1" applyAlignment="1">
      <alignment horizontal="center"/>
    </xf>
    <xf numFmtId="0" fontId="8" fillId="6" borderId="18" xfId="5" applyFont="1" applyFill="1" applyBorder="1" applyAlignment="1">
      <alignment horizontal="center"/>
    </xf>
    <xf numFmtId="43" fontId="7" fillId="6" borderId="3" xfId="1" applyNumberFormat="1" applyFont="1" applyFill="1" applyBorder="1"/>
    <xf numFmtId="43" fontId="7" fillId="6" borderId="8" xfId="1" applyNumberFormat="1" applyFont="1" applyFill="1" applyBorder="1"/>
    <xf numFmtId="43" fontId="7" fillId="6" borderId="25" xfId="1" applyNumberFormat="1" applyFont="1" applyFill="1" applyBorder="1"/>
    <xf numFmtId="165" fontId="7" fillId="6" borderId="26" xfId="1" applyNumberFormat="1" applyFont="1" applyFill="1" applyBorder="1"/>
    <xf numFmtId="168" fontId="7" fillId="6" borderId="8" xfId="1" applyNumberFormat="1" applyFont="1" applyFill="1" applyBorder="1"/>
    <xf numFmtId="168" fontId="7" fillId="6" borderId="10" xfId="1" applyNumberFormat="1" applyFont="1" applyFill="1" applyBorder="1"/>
    <xf numFmtId="0" fontId="10" fillId="6" borderId="27" xfId="5" applyFont="1" applyFill="1" applyBorder="1" applyAlignment="1">
      <alignment horizontal="center"/>
    </xf>
    <xf numFmtId="43" fontId="7" fillId="6" borderId="22" xfId="1" applyNumberFormat="1" applyFont="1" applyFill="1" applyBorder="1"/>
    <xf numFmtId="43" fontId="7" fillId="6" borderId="23" xfId="1" applyNumberFormat="1" applyFont="1" applyFill="1" applyBorder="1"/>
    <xf numFmtId="0" fontId="8" fillId="6" borderId="27" xfId="5" applyFont="1" applyFill="1" applyBorder="1" applyAlignment="1">
      <alignment horizontal="center"/>
    </xf>
    <xf numFmtId="0" fontId="8" fillId="6" borderId="28" xfId="5" applyFont="1" applyFill="1" applyBorder="1" applyAlignment="1">
      <alignment horizontal="center"/>
    </xf>
    <xf numFmtId="0" fontId="10" fillId="6" borderId="29" xfId="5" applyFont="1" applyFill="1" applyBorder="1" applyAlignment="1">
      <alignment horizontal="center"/>
    </xf>
  </cellXfs>
  <cellStyles count="7">
    <cellStyle name="Comma" xfId="1" builtinId="3"/>
    <cellStyle name="Comma 2" xfId="4" xr:uid="{E3EDA052-1273-446D-BD74-7884BE49A3A5}"/>
    <cellStyle name="Comma 8" xfId="6" xr:uid="{5B3E2EAA-02C6-4D47-AEFD-9257172D0F43}"/>
    <cellStyle name="Normal" xfId="0" builtinId="0"/>
    <cellStyle name="Normal 10" xfId="5" xr:uid="{A1707A42-4465-4A89-B1A6-628CDB6328B4}"/>
    <cellStyle name="Normal 2" xfId="3" xr:uid="{FF14CB60-241F-4C75-AA9F-E88C80AF200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Arcadia Annual Carbon Avoidance (Metric Tons)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WattTime MOER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'Bear Creek (Alabama Power)'!$E$3:$E$42</c:f>
              <c:numCache>
                <c:formatCode>_(* #,##0_);_(* \(#,##0\);_(* "-"??_);_(@_)</c:formatCode>
                <c:ptCount val="40"/>
                <c:pt idx="0">
                  <c:v>5590.8346323319729</c:v>
                </c:pt>
                <c:pt idx="1">
                  <c:v>5574.0621284349772</c:v>
                </c:pt>
                <c:pt idx="2">
                  <c:v>5557.3399420496726</c:v>
                </c:pt>
                <c:pt idx="3">
                  <c:v>5540.6679222235234</c:v>
                </c:pt>
                <c:pt idx="4">
                  <c:v>5524.0459184568526</c:v>
                </c:pt>
                <c:pt idx="5">
                  <c:v>5507.4737807014817</c:v>
                </c:pt>
                <c:pt idx="6">
                  <c:v>5490.9513593593774</c:v>
                </c:pt>
                <c:pt idx="7">
                  <c:v>5474.4785052812995</c:v>
                </c:pt>
                <c:pt idx="8">
                  <c:v>5458.0550697654553</c:v>
                </c:pt>
                <c:pt idx="9">
                  <c:v>5441.6809045561595</c:v>
                </c:pt>
                <c:pt idx="10">
                  <c:v>5425.3558618424904</c:v>
                </c:pt>
                <c:pt idx="11">
                  <c:v>5409.0797942569634</c:v>
                </c:pt>
                <c:pt idx="12">
                  <c:v>5392.8525548741918</c:v>
                </c:pt>
                <c:pt idx="13">
                  <c:v>5376.6739972095702</c:v>
                </c:pt>
                <c:pt idx="14">
                  <c:v>5360.5439752179409</c:v>
                </c:pt>
                <c:pt idx="15">
                  <c:v>5344.4623432922863</c:v>
                </c:pt>
                <c:pt idx="16">
                  <c:v>5328.428956262409</c:v>
                </c:pt>
                <c:pt idx="17">
                  <c:v>5312.4436693936223</c:v>
                </c:pt>
                <c:pt idx="18">
                  <c:v>5296.5063383854413</c:v>
                </c:pt>
                <c:pt idx="19">
                  <c:v>5280.6168193702842</c:v>
                </c:pt>
                <c:pt idx="20">
                  <c:v>5264.7749689121738</c:v>
                </c:pt>
                <c:pt idx="21">
                  <c:v>5248.9806440054372</c:v>
                </c:pt>
                <c:pt idx="22">
                  <c:v>5233.2337020734212</c:v>
                </c:pt>
                <c:pt idx="23">
                  <c:v>5217.5340009672009</c:v>
                </c:pt>
                <c:pt idx="24">
                  <c:v>5201.8813989642995</c:v>
                </c:pt>
                <c:pt idx="25">
                  <c:v>5186.2757547674064</c:v>
                </c:pt>
                <c:pt idx="26">
                  <c:v>5170.7169275031047</c:v>
                </c:pt>
                <c:pt idx="27">
                  <c:v>5155.204776720595</c:v>
                </c:pt>
                <c:pt idx="28">
                  <c:v>5139.7391623904332</c:v>
                </c:pt>
                <c:pt idx="29">
                  <c:v>5124.3199449032609</c:v>
                </c:pt>
                <c:pt idx="30">
                  <c:v>5108.9469850685518</c:v>
                </c:pt>
                <c:pt idx="31">
                  <c:v>5093.6201441133462</c:v>
                </c:pt>
                <c:pt idx="32">
                  <c:v>5078.3392836810053</c:v>
                </c:pt>
                <c:pt idx="33">
                  <c:v>5063.1042658299621</c:v>
                </c:pt>
                <c:pt idx="34">
                  <c:v>5047.9149530324721</c:v>
                </c:pt>
                <c:pt idx="35">
                  <c:v>5032.7712081733744</c:v>
                </c:pt>
                <c:pt idx="36">
                  <c:v>5017.6728945488558</c:v>
                </c:pt>
                <c:pt idx="37">
                  <c:v>5002.619875865209</c:v>
                </c:pt>
                <c:pt idx="38">
                  <c:v>4987.6120162376137</c:v>
                </c:pt>
                <c:pt idx="39">
                  <c:v>4972.6491801889006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E-44C9-9E9F-5379A522F1DA}"/>
            </c:ext>
          </c:extLst>
        </c:ser>
        <c:ser>
          <c:idx val="1"/>
          <c:order val="1"/>
          <c:tx>
            <c:v>TCR LMER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val>
            <c:numRef>
              <c:f>'Bear Creek (Alabama Power)'!$H$3:$H$42</c:f>
              <c:numCache>
                <c:formatCode>_(* #,##0_);_(* \(#,##0\);_(* "-"??_);_(@_)</c:formatCode>
                <c:ptCount val="40"/>
                <c:pt idx="0">
                  <c:v>6496.5494678012374</c:v>
                </c:pt>
                <c:pt idx="1">
                  <c:v>6663.3410193977188</c:v>
                </c:pt>
                <c:pt idx="2">
                  <c:v>6775.423187788293</c:v>
                </c:pt>
                <c:pt idx="3">
                  <c:v>6594.4346017645203</c:v>
                </c:pt>
                <c:pt idx="4">
                  <c:v>6420.6698535897649</c:v>
                </c:pt>
                <c:pt idx="5">
                  <c:v>6449.1996648691693</c:v>
                </c:pt>
                <c:pt idx="6">
                  <c:v>6476.4269931006147</c:v>
                </c:pt>
                <c:pt idx="7">
                  <c:v>6245.3363279833111</c:v>
                </c:pt>
                <c:pt idx="8">
                  <c:v>6363.3805168137296</c:v>
                </c:pt>
                <c:pt idx="9">
                  <c:v>6075.5203142982709</c:v>
                </c:pt>
                <c:pt idx="10">
                  <c:v>5710.7157248420808</c:v>
                </c:pt>
                <c:pt idx="11">
                  <c:v>5640.4501925248214</c:v>
                </c:pt>
                <c:pt idx="12">
                  <c:v>5502.1936952201631</c:v>
                </c:pt>
                <c:pt idx="13">
                  <c:v>5429.2270261190561</c:v>
                </c:pt>
                <c:pt idx="14">
                  <c:v>5280.2685384502938</c:v>
                </c:pt>
                <c:pt idx="15">
                  <c:v>5466.9276739064144</c:v>
                </c:pt>
                <c:pt idx="16">
                  <c:v>5244.9200199797615</c:v>
                </c:pt>
                <c:pt idx="17">
                  <c:v>5301.9879602863275</c:v>
                </c:pt>
                <c:pt idx="18">
                  <c:v>5296.4080633325311</c:v>
                </c:pt>
                <c:pt idx="19">
                  <c:v>5301.6787755759497</c:v>
                </c:pt>
                <c:pt idx="20">
                  <c:v>5244.7444982626012</c:v>
                </c:pt>
                <c:pt idx="21">
                  <c:v>5234.1380586103478</c:v>
                </c:pt>
                <c:pt idx="22">
                  <c:v>5224.9676818878406</c:v>
                </c:pt>
                <c:pt idx="23">
                  <c:v>5216.8921734909409</c:v>
                </c:pt>
                <c:pt idx="24">
                  <c:v>5209.6789616822261</c:v>
                </c:pt>
                <c:pt idx="25">
                  <c:v>5203.1624100468498</c:v>
                </c:pt>
                <c:pt idx="26">
                  <c:v>5197.2203823109849</c:v>
                </c:pt>
                <c:pt idx="27">
                  <c:v>5191.7602392233202</c:v>
                </c:pt>
                <c:pt idx="28">
                  <c:v>5186.710050613664</c:v>
                </c:pt>
                <c:pt idx="29">
                  <c:v>5182.0128531720957</c:v>
                </c:pt>
                <c:pt idx="30">
                  <c:v>5177.6227692729872</c:v>
                </c:pt>
                <c:pt idx="31">
                  <c:v>5173.5023070947818</c:v>
                </c:pt>
                <c:pt idx="32">
                  <c:v>5169.6204353457979</c:v>
                </c:pt>
                <c:pt idx="33">
                  <c:v>5165.9511803973637</c:v>
                </c:pt>
                <c:pt idx="34">
                  <c:v>5162.4725844930817</c:v>
                </c:pt>
                <c:pt idx="35">
                  <c:v>5159.1659189836182</c:v>
                </c:pt>
                <c:pt idx="36">
                  <c:v>5156.0150811784833</c:v>
                </c:pt>
                <c:pt idx="37">
                  <c:v>5153.00612569233</c:v>
                </c:pt>
                <c:pt idx="38">
                  <c:v>5150.126895839554</c:v>
                </c:pt>
                <c:pt idx="39">
                  <c:v>5147.3667305014751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E-44C9-9E9F-5379A522F1DA}"/>
            </c:ext>
          </c:extLst>
        </c:ser>
        <c:ser>
          <c:idx val="2"/>
          <c:order val="2"/>
          <c:tx>
            <c:strRef>
              <c:f>{"TCR LMER (MWh)"}</c:f>
              <c:strCache>
                <c:ptCount val="1"/>
                <c:pt idx="0">
                  <c:v>TCR LMER (MWh)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'Bear Creek (Alabama Power)'!J3:J42</c:f>
              <c:numCache>
                <c:formatCode>_(* #,##0_);_(* \(#,##0\);_(* "-"??_);_(@_)</c:formatCode>
                <c:ptCount val="40"/>
                <c:pt idx="0">
                  <c:v>5342.1623789403666</c:v>
                </c:pt>
                <c:pt idx="1">
                  <c:v>5477.6344854348063</c:v>
                </c:pt>
                <c:pt idx="2">
                  <c:v>5575.3354123524177</c:v>
                </c:pt>
                <c:pt idx="3">
                  <c:v>5352.1878913349929</c:v>
                </c:pt>
                <c:pt idx="4">
                  <c:v>5194.5178127364479</c:v>
                </c:pt>
                <c:pt idx="5">
                  <c:v>5200.7170238728622</c:v>
                </c:pt>
                <c:pt idx="6">
                  <c:v>5207.2989792647668</c:v>
                </c:pt>
                <c:pt idx="7">
                  <c:v>5032.0815749302637</c:v>
                </c:pt>
                <c:pt idx="8">
                  <c:v>5112.0153083914256</c:v>
                </c:pt>
                <c:pt idx="9">
                  <c:v>4842.7275573826855</c:v>
                </c:pt>
                <c:pt idx="10">
                  <c:v>4512.9068146889513</c:v>
                </c:pt>
                <c:pt idx="11">
                  <c:v>4446.3695533203045</c:v>
                </c:pt>
                <c:pt idx="12">
                  <c:v>4326.5884358710546</c:v>
                </c:pt>
                <c:pt idx="13">
                  <c:v>4265.036286717529</c:v>
                </c:pt>
                <c:pt idx="14">
                  <c:v>4123.9215819825959</c:v>
                </c:pt>
                <c:pt idx="15">
                  <c:v>4245.2051066247022</c:v>
                </c:pt>
                <c:pt idx="16">
                  <c:v>4059.0634580095166</c:v>
                </c:pt>
                <c:pt idx="17">
                  <c:v>4096.9907989795793</c:v>
                </c:pt>
                <c:pt idx="18">
                  <c:v>4092.4911785542672</c:v>
                </c:pt>
                <c:pt idx="19">
                  <c:v>4091.1559730464514</c:v>
                </c:pt>
                <c:pt idx="20">
                  <c:v>4061.2697576356427</c:v>
                </c:pt>
                <c:pt idx="21">
                  <c:v>4040.8974873667203</c:v>
                </c:pt>
                <c:pt idx="22">
                  <c:v>4021.7162530423839</c:v>
                </c:pt>
                <c:pt idx="23">
                  <c:v>4003.4539422848161</c:v>
                </c:pt>
                <c:pt idx="24">
                  <c:v>3985.9247529624122</c:v>
                </c:pt>
                <c:pt idx="25">
                  <c:v>3968.9961232622445</c:v>
                </c:pt>
                <c:pt idx="26">
                  <c:v>3952.5701267316858</c:v>
                </c:pt>
                <c:pt idx="27">
                  <c:v>3936.5723468378242</c:v>
                </c:pt>
                <c:pt idx="28">
                  <c:v>3920.9448896445851</c:v>
                </c:pt>
                <c:pt idx="29">
                  <c:v>3905.6418146753304</c:v>
                </c:pt>
                <c:pt idx="30">
                  <c:v>3890.626044275703</c:v>
                </c:pt>
                <c:pt idx="31">
                  <c:v>3875.8672120241954</c:v>
                </c:pt>
                <c:pt idx="32">
                  <c:v>3861.3401272750484</c:v>
                </c:pt>
                <c:pt idx="33">
                  <c:v>3847.0236554836561</c:v>
                </c:pt>
                <c:pt idx="34">
                  <c:v>3832.899886085972</c:v>
                </c:pt>
                <c:pt idx="35">
                  <c:v>3818.95350359857</c:v>
                </c:pt>
                <c:pt idx="36">
                  <c:v>3805.17130512533</c:v>
                </c:pt>
                <c:pt idx="37">
                  <c:v>3791.5418251680871</c:v>
                </c:pt>
                <c:pt idx="38">
                  <c:v>3778.0550403074867</c:v>
                </c:pt>
                <c:pt idx="39">
                  <c:v>3764.7021341714044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F-4D50-B9AA-A5FDA2D51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overlap val="-32"/>
        <c:axId val="411940127"/>
        <c:axId val="411934367"/>
      </c:barChart>
      <c:catAx>
        <c:axId val="41194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34367"/>
        <c:crosses val="autoZero"/>
        <c:auto val="1"/>
        <c:lblAlgn val="ctr"/>
        <c:lblOffset val="100"/>
        <c:noMultiLvlLbl val="0"/>
      </c:catAx>
      <c:valAx>
        <c:axId val="41193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4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Arcadia Annual Carbon Avoidance (Metric Tons)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WattTime MOER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'Jackson (TVA)'!$E$3:$E$42</c:f>
              <c:numCache>
                <c:formatCode>_(* #,##0_);_(* \(#,##0\);_(* "-"??_);_(@_)</c:formatCode>
                <c:ptCount val="40"/>
                <c:pt idx="0">
                  <c:v>1251.1883250657595</c:v>
                </c:pt>
                <c:pt idx="1">
                  <c:v>1247.4347600905623</c:v>
                </c:pt>
                <c:pt idx="2">
                  <c:v>1243.6924558102908</c:v>
                </c:pt>
                <c:pt idx="3">
                  <c:v>1239.9613784428598</c:v>
                </c:pt>
                <c:pt idx="4">
                  <c:v>1236.2414943075312</c:v>
                </c:pt>
                <c:pt idx="5">
                  <c:v>1232.5327698246085</c:v>
                </c:pt>
                <c:pt idx="6">
                  <c:v>1228.8351715151348</c:v>
                </c:pt>
                <c:pt idx="7">
                  <c:v>1225.1486660005892</c:v>
                </c:pt>
                <c:pt idx="8">
                  <c:v>1221.4732200025874</c:v>
                </c:pt>
                <c:pt idx="9">
                  <c:v>1217.8088003425798</c:v>
                </c:pt>
                <c:pt idx="10">
                  <c:v>1214.1553739415519</c:v>
                </c:pt>
                <c:pt idx="11">
                  <c:v>1210.5129078197274</c:v>
                </c:pt>
                <c:pt idx="12">
                  <c:v>1206.8813690962684</c:v>
                </c:pt>
                <c:pt idx="13">
                  <c:v>1203.2607249889795</c:v>
                </c:pt>
                <c:pt idx="14">
                  <c:v>1199.6509428140128</c:v>
                </c:pt>
                <c:pt idx="15">
                  <c:v>1196.0519899855706</c:v>
                </c:pt>
                <c:pt idx="16">
                  <c:v>1192.4638340156139</c:v>
                </c:pt>
                <c:pt idx="17">
                  <c:v>1188.8864425135671</c:v>
                </c:pt>
                <c:pt idx="18">
                  <c:v>1185.3197831860261</c:v>
                </c:pt>
                <c:pt idx="19">
                  <c:v>1181.763823836468</c:v>
                </c:pt>
                <c:pt idx="20">
                  <c:v>1178.2185323649589</c:v>
                </c:pt>
                <c:pt idx="21">
                  <c:v>1174.6838767678637</c:v>
                </c:pt>
                <c:pt idx="22">
                  <c:v>1171.1598251375601</c:v>
                </c:pt>
                <c:pt idx="23">
                  <c:v>1167.6463456621475</c:v>
                </c:pt>
                <c:pt idx="24">
                  <c:v>1164.1434066251611</c:v>
                </c:pt>
                <c:pt idx="25">
                  <c:v>1160.6509764052857</c:v>
                </c:pt>
                <c:pt idx="26">
                  <c:v>1157.1690234760697</c:v>
                </c:pt>
                <c:pt idx="27">
                  <c:v>1153.6975164056416</c:v>
                </c:pt>
                <c:pt idx="28">
                  <c:v>1150.2364238564246</c:v>
                </c:pt>
                <c:pt idx="29">
                  <c:v>1146.7857145848552</c:v>
                </c:pt>
                <c:pt idx="30">
                  <c:v>1143.3453574411008</c:v>
                </c:pt>
                <c:pt idx="31">
                  <c:v>1139.9153213687773</c:v>
                </c:pt>
                <c:pt idx="32">
                  <c:v>1136.4955754046712</c:v>
                </c:pt>
                <c:pt idx="33">
                  <c:v>1133.0860886784569</c:v>
                </c:pt>
                <c:pt idx="34">
                  <c:v>1129.6868304124218</c:v>
                </c:pt>
                <c:pt idx="35">
                  <c:v>1126.2977699211845</c:v>
                </c:pt>
                <c:pt idx="36">
                  <c:v>1122.9188766114212</c:v>
                </c:pt>
                <c:pt idx="37">
                  <c:v>1119.5501199815867</c:v>
                </c:pt>
                <c:pt idx="38">
                  <c:v>1116.1914696216418</c:v>
                </c:pt>
                <c:pt idx="39">
                  <c:v>1112.842895212777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C-4AC8-B5AE-ED0702898611}"/>
            </c:ext>
          </c:extLst>
        </c:ser>
        <c:ser>
          <c:idx val="1"/>
          <c:order val="1"/>
          <c:tx>
            <c:v>TCR LMER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val>
            <c:numRef>
              <c:f>'Jackson (TVA)'!$H$3:$H$42</c:f>
              <c:numCache>
                <c:formatCode>_(* #,##0_);_(* \(#,##0\);_(* "-"??_);_(@_)</c:formatCode>
                <c:ptCount val="40"/>
                <c:pt idx="0">
                  <c:v>1534.4924584277173</c:v>
                </c:pt>
                <c:pt idx="1">
                  <c:v>1540.0379457638862</c:v>
                </c:pt>
                <c:pt idx="2">
                  <c:v>1515.3545757517159</c:v>
                </c:pt>
                <c:pt idx="3">
                  <c:v>1509.3230513794713</c:v>
                </c:pt>
                <c:pt idx="4">
                  <c:v>1525.3153053447563</c:v>
                </c:pt>
                <c:pt idx="5">
                  <c:v>1451.0476012953461</c:v>
                </c:pt>
                <c:pt idx="6">
                  <c:v>1469.8053359774487</c:v>
                </c:pt>
                <c:pt idx="7">
                  <c:v>1412.9891701531653</c:v>
                </c:pt>
                <c:pt idx="8">
                  <c:v>1411.0315545624051</c:v>
                </c:pt>
                <c:pt idx="9">
                  <c:v>1364.7948632118348</c:v>
                </c:pt>
                <c:pt idx="10">
                  <c:v>1302.5971540872881</c:v>
                </c:pt>
                <c:pt idx="11">
                  <c:v>1296.5554302981327</c:v>
                </c:pt>
                <c:pt idx="12">
                  <c:v>1273.3534933725564</c:v>
                </c:pt>
                <c:pt idx="13">
                  <c:v>1243.4050220501742</c:v>
                </c:pt>
                <c:pt idx="14">
                  <c:v>1222.5470811352923</c:v>
                </c:pt>
                <c:pt idx="15">
                  <c:v>1273.7245133101696</c:v>
                </c:pt>
                <c:pt idx="16">
                  <c:v>1219.078515323655</c:v>
                </c:pt>
                <c:pt idx="17">
                  <c:v>1236.9336474371655</c:v>
                </c:pt>
                <c:pt idx="18">
                  <c:v>1232.1609903239266</c:v>
                </c:pt>
                <c:pt idx="19">
                  <c:v>1237.4666327417913</c:v>
                </c:pt>
                <c:pt idx="20">
                  <c:v>1223.0284893282112</c:v>
                </c:pt>
                <c:pt idx="21">
                  <c:v>1220.480243497786</c:v>
                </c:pt>
                <c:pt idx="22">
                  <c:v>1218.2771445748688</c:v>
                </c:pt>
                <c:pt idx="23">
                  <c:v>1216.3371748013217</c:v>
                </c:pt>
                <c:pt idx="24">
                  <c:v>1214.6044304952825</c:v>
                </c:pt>
                <c:pt idx="25">
                  <c:v>1213.0390991402039</c:v>
                </c:pt>
                <c:pt idx="26">
                  <c:v>1211.6118251433079</c:v>
                </c:pt>
                <c:pt idx="27">
                  <c:v>1210.3003433733631</c:v>
                </c:pt>
                <c:pt idx="28">
                  <c:v>1209.0873665485528</c:v>
                </c:pt>
                <c:pt idx="29">
                  <c:v>1207.9592048598095</c:v>
                </c:pt>
                <c:pt idx="30">
                  <c:v>1206.9048330014937</c:v>
                </c:pt>
                <c:pt idx="31">
                  <c:v>1205.9152411845771</c:v>
                </c:pt>
                <c:pt idx="32">
                  <c:v>1204.9829723591949</c:v>
                </c:pt>
                <c:pt idx="33">
                  <c:v>1204.1017850166054</c:v>
                </c:pt>
                <c:pt idx="34">
                  <c:v>1203.2664027866415</c:v>
                </c:pt>
                <c:pt idx="35">
                  <c:v>1202.4723253367906</c:v>
                </c:pt>
                <c:pt idx="36">
                  <c:v>1201.7156834071427</c:v>
                </c:pt>
                <c:pt idx="37">
                  <c:v>1200.9931261729935</c:v>
                </c:pt>
                <c:pt idx="38">
                  <c:v>1200.3017326550155</c:v>
                </c:pt>
                <c:pt idx="39">
                  <c:v>1199.6389412696242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C-4AC8-B5AE-ED0702898611}"/>
            </c:ext>
          </c:extLst>
        </c:ser>
        <c:ser>
          <c:idx val="2"/>
          <c:order val="2"/>
          <c:tx>
            <c:strRef>
              <c:f>{"TCR LMER (MWh)"}</c:f>
              <c:strCache>
                <c:ptCount val="1"/>
                <c:pt idx="0">
                  <c:v>TCR LMER (MWh)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'Jackson (TVA)'!J3:J42</c:f>
              <c:numCache>
                <c:formatCode>_(* #,##0_);_(* \(#,##0\);_(* "-"??_);_(@_)</c:formatCode>
                <c:ptCount val="40"/>
                <c:pt idx="0">
                  <c:v>1348.8267714197275</c:v>
                </c:pt>
                <c:pt idx="1">
                  <c:v>1349.9613074263455</c:v>
                </c:pt>
                <c:pt idx="2">
                  <c:v>1331.1023573850205</c:v>
                </c:pt>
                <c:pt idx="3">
                  <c:v>1268.8329615028642</c:v>
                </c:pt>
                <c:pt idx="4">
                  <c:v>1277.7417210947328</c:v>
                </c:pt>
                <c:pt idx="5">
                  <c:v>1211.6744906936976</c:v>
                </c:pt>
                <c:pt idx="6">
                  <c:v>1223.4512449833123</c:v>
                </c:pt>
                <c:pt idx="7">
                  <c:v>1176.8875529678401</c:v>
                </c:pt>
                <c:pt idx="8">
                  <c:v>1172.0577661504735</c:v>
                </c:pt>
                <c:pt idx="9">
                  <c:v>1126.7782991397833</c:v>
                </c:pt>
                <c:pt idx="10">
                  <c:v>1070.08236674825</c:v>
                </c:pt>
                <c:pt idx="11">
                  <c:v>1063.9595480447322</c:v>
                </c:pt>
                <c:pt idx="12">
                  <c:v>1043.0870289726329</c:v>
                </c:pt>
                <c:pt idx="13">
                  <c:v>1017.1333820299641</c:v>
                </c:pt>
                <c:pt idx="14">
                  <c:v>995.02506542644699</c:v>
                </c:pt>
                <c:pt idx="15">
                  <c:v>1032.2493314021167</c:v>
                </c:pt>
                <c:pt idx="16">
                  <c:v>984.92785932428444</c:v>
                </c:pt>
                <c:pt idx="17">
                  <c:v>996.91190733396684</c:v>
                </c:pt>
                <c:pt idx="18">
                  <c:v>992.48977359048968</c:v>
                </c:pt>
                <c:pt idx="19">
                  <c:v>994.54436185439954</c:v>
                </c:pt>
                <c:pt idx="20">
                  <c:v>1012.3510991932928</c:v>
                </c:pt>
                <c:pt idx="21">
                  <c:v>1007.2110856364175</c:v>
                </c:pt>
                <c:pt idx="22">
                  <c:v>1002.3767817420858</c:v>
                </c:pt>
                <c:pt idx="23">
                  <c:v>997.7782672648143</c:v>
                </c:pt>
                <c:pt idx="24">
                  <c:v>993.36780244087731</c:v>
                </c:pt>
                <c:pt idx="25">
                  <c:v>989.11132881782203</c:v>
                </c:pt>
                <c:pt idx="26">
                  <c:v>984.98368789483561</c:v>
                </c:pt>
                <c:pt idx="27">
                  <c:v>980.96576207373346</c:v>
                </c:pt>
                <c:pt idx="28">
                  <c:v>977.04267910416741</c:v>
                </c:pt>
                <c:pt idx="29">
                  <c:v>973.20263797845405</c:v>
                </c:pt>
                <c:pt idx="30">
                  <c:v>969.43611477351749</c:v>
                </c:pt>
                <c:pt idx="31">
                  <c:v>965.73530980319038</c:v>
                </c:pt>
                <c:pt idx="32">
                  <c:v>962.0937530956536</c:v>
                </c:pt>
                <c:pt idx="33">
                  <c:v>958.50601671003824</c:v>
                </c:pt>
                <c:pt idx="34">
                  <c:v>954.96750094084007</c:v>
                </c:pt>
                <c:pt idx="35">
                  <c:v>951.47427273922517</c:v>
                </c:pt>
                <c:pt idx="36">
                  <c:v>948.02294175221004</c:v>
                </c:pt>
                <c:pt idx="37">
                  <c:v>944.61056393204865</c:v>
                </c:pt>
                <c:pt idx="38">
                  <c:v>941.23456566671985</c:v>
                </c:pt>
                <c:pt idx="39">
                  <c:v>937.89268339982345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F-4DD7-92F3-2185D63DD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overlap val="-32"/>
        <c:axId val="411940127"/>
        <c:axId val="411934367"/>
      </c:barChart>
      <c:catAx>
        <c:axId val="41194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34367"/>
        <c:crosses val="autoZero"/>
        <c:auto val="1"/>
        <c:lblAlgn val="ctr"/>
        <c:lblOffset val="100"/>
        <c:noMultiLvlLbl val="0"/>
      </c:catAx>
      <c:valAx>
        <c:axId val="41193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4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Arcadia Annual Carbon Avoidance (Metric Tons)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WattTime MOER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'Arcadia (Entregy)'!$E$3:$E$42</c:f>
              <c:numCache>
                <c:formatCode>_(* #,##0_);_(* \(#,##0\);_(* "-"??_);_(@_)</c:formatCode>
                <c:ptCount val="40"/>
                <c:pt idx="0">
                  <c:v>6518.3288888888883</c:v>
                </c:pt>
                <c:pt idx="1">
                  <c:v>6498.7739022222231</c:v>
                </c:pt>
                <c:pt idx="2">
                  <c:v>6479.2775805155561</c:v>
                </c:pt>
                <c:pt idx="3">
                  <c:v>6459.83974777401</c:v>
                </c:pt>
                <c:pt idx="4">
                  <c:v>6440.4602285306873</c:v>
                </c:pt>
                <c:pt idx="5">
                  <c:v>6421.1388478450954</c:v>
                </c:pt>
                <c:pt idx="6">
                  <c:v>6401.8754313015597</c:v>
                </c:pt>
                <c:pt idx="7">
                  <c:v>6382.6698050076557</c:v>
                </c:pt>
                <c:pt idx="8">
                  <c:v>6363.5217955926328</c:v>
                </c:pt>
                <c:pt idx="9">
                  <c:v>6344.4312302058552</c:v>
                </c:pt>
                <c:pt idx="10">
                  <c:v>6325.3979365152372</c:v>
                </c:pt>
                <c:pt idx="11">
                  <c:v>6306.4217427056928</c:v>
                </c:pt>
                <c:pt idx="12">
                  <c:v>6287.5024774775757</c:v>
                </c:pt>
                <c:pt idx="13">
                  <c:v>6268.6399700451429</c:v>
                </c:pt>
                <c:pt idx="14">
                  <c:v>6249.8340501350085</c:v>
                </c:pt>
                <c:pt idx="15">
                  <c:v>6231.0845479846039</c:v>
                </c:pt>
                <c:pt idx="16">
                  <c:v>6212.3912943406503</c:v>
                </c:pt>
                <c:pt idx="17">
                  <c:v>6193.7541204576273</c:v>
                </c:pt>
                <c:pt idx="18">
                  <c:v>6175.1728580962545</c:v>
                </c:pt>
                <c:pt idx="19">
                  <c:v>6156.6473395219664</c:v>
                </c:pt>
                <c:pt idx="20">
                  <c:v>6138.1773975034002</c:v>
                </c:pt>
                <c:pt idx="21">
                  <c:v>6119.7628653108904</c:v>
                </c:pt>
                <c:pt idx="22">
                  <c:v>6101.403576714958</c:v>
                </c:pt>
                <c:pt idx="23">
                  <c:v>6083.0993659848127</c:v>
                </c:pt>
                <c:pt idx="24">
                  <c:v>6064.8500678868577</c:v>
                </c:pt>
                <c:pt idx="25">
                  <c:v>6046.655517683198</c:v>
                </c:pt>
                <c:pt idx="26">
                  <c:v>6028.5155511301482</c:v>
                </c:pt>
                <c:pt idx="27">
                  <c:v>6010.4300044767579</c:v>
                </c:pt>
                <c:pt idx="28">
                  <c:v>5992.3987144633275</c:v>
                </c:pt>
                <c:pt idx="29">
                  <c:v>5974.4215183199376</c:v>
                </c:pt>
                <c:pt idx="30">
                  <c:v>5956.4982537649776</c:v>
                </c:pt>
                <c:pt idx="31">
                  <c:v>5938.6287590036827</c:v>
                </c:pt>
                <c:pt idx="32">
                  <c:v>5920.8128727266721</c:v>
                </c:pt>
                <c:pt idx="33">
                  <c:v>5903.0504341084925</c:v>
                </c:pt>
                <c:pt idx="34">
                  <c:v>5885.3412828061664</c:v>
                </c:pt>
                <c:pt idx="35">
                  <c:v>5867.6852589577475</c:v>
                </c:pt>
                <c:pt idx="36">
                  <c:v>5850.0822031808748</c:v>
                </c:pt>
                <c:pt idx="37">
                  <c:v>5832.5319565713326</c:v>
                </c:pt>
                <c:pt idx="38">
                  <c:v>5815.0343607016175</c:v>
                </c:pt>
                <c:pt idx="39">
                  <c:v>5797.5892576195138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C-4836-8543-5E511F060137}"/>
            </c:ext>
          </c:extLst>
        </c:ser>
        <c:ser>
          <c:idx val="1"/>
          <c:order val="1"/>
          <c:tx>
            <c:strRef>
              <c:f>{"TCR LMER (MW)"}</c:f>
              <c:strCache>
                <c:ptCount val="1"/>
                <c:pt idx="0">
                  <c:v>TCR LMER (MW)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val>
            <c:numRef>
              <c:f>'Arcadia (Entregy)'!$H$3:$H$42</c:f>
              <c:numCache>
                <c:formatCode>_(* #,##0_);_(* \(#,##0\);_(* "-"??_);_(@_)</c:formatCode>
                <c:ptCount val="40"/>
                <c:pt idx="0">
                  <c:v>6257.4253567847518</c:v>
                </c:pt>
                <c:pt idx="1">
                  <c:v>6338.4732516566837</c:v>
                </c:pt>
                <c:pt idx="2">
                  <c:v>6169.2598813134791</c:v>
                </c:pt>
                <c:pt idx="3">
                  <c:v>5756.9387556539314</c:v>
                </c:pt>
                <c:pt idx="4">
                  <c:v>5550.3962061158909</c:v>
                </c:pt>
                <c:pt idx="5">
                  <c:v>5153.4690532922432</c:v>
                </c:pt>
                <c:pt idx="6">
                  <c:v>4644.7222742288268</c:v>
                </c:pt>
                <c:pt idx="7">
                  <c:v>4516.1553106306965</c:v>
                </c:pt>
                <c:pt idx="8">
                  <c:v>4954.6761187407255</c:v>
                </c:pt>
                <c:pt idx="9">
                  <c:v>4852.2958180619562</c:v>
                </c:pt>
                <c:pt idx="10">
                  <c:v>4905.2351553682192</c:v>
                </c:pt>
                <c:pt idx="11">
                  <c:v>4592.5383981561172</c:v>
                </c:pt>
                <c:pt idx="12">
                  <c:v>4517.4690562174565</c:v>
                </c:pt>
                <c:pt idx="13">
                  <c:v>4584.5286782956846</c:v>
                </c:pt>
                <c:pt idx="14">
                  <c:v>4679.3784467085925</c:v>
                </c:pt>
                <c:pt idx="15">
                  <c:v>4763.5994340427587</c:v>
                </c:pt>
                <c:pt idx="16">
                  <c:v>4840.5579379754154</c:v>
                </c:pt>
                <c:pt idx="17">
                  <c:v>4757.4308080895071</c:v>
                </c:pt>
                <c:pt idx="18">
                  <c:v>4887.8904734664129</c:v>
                </c:pt>
                <c:pt idx="19">
                  <c:v>4887.7864270809669</c:v>
                </c:pt>
                <c:pt idx="20">
                  <c:v>4890.0537049292079</c:v>
                </c:pt>
                <c:pt idx="21">
                  <c:v>4896.3020005730277</c:v>
                </c:pt>
                <c:pt idx="22">
                  <c:v>4901.7209734278358</c:v>
                </c:pt>
                <c:pt idx="23">
                  <c:v>4906.5058241856232</c:v>
                </c:pt>
                <c:pt idx="24">
                  <c:v>4910.7899767146291</c:v>
                </c:pt>
                <c:pt idx="25">
                  <c:v>4914.6686865117454</c:v>
                </c:pt>
                <c:pt idx="26">
                  <c:v>4918.2123460962421</c:v>
                </c:pt>
                <c:pt idx="27">
                  <c:v>4921.4744532184377</c:v>
                </c:pt>
                <c:pt idx="28">
                  <c:v>4924.4966216138146</c:v>
                </c:pt>
                <c:pt idx="29">
                  <c:v>4927.3118611795562</c:v>
                </c:pt>
                <c:pt idx="30">
                  <c:v>4929.9467988114211</c:v>
                </c:pt>
                <c:pt idx="31">
                  <c:v>4932.4232257180493</c:v>
                </c:pt>
                <c:pt idx="32">
                  <c:v>4934.7592024149772</c:v>
                </c:pt>
                <c:pt idx="33">
                  <c:v>4936.9698649862539</c:v>
                </c:pt>
                <c:pt idx="34">
                  <c:v>4939.0680245940612</c:v>
                </c:pt>
                <c:pt idx="35">
                  <c:v>4941.0646207781065</c:v>
                </c:pt>
                <c:pt idx="36">
                  <c:v>4942.9690693600687</c:v>
                </c:pt>
                <c:pt idx="37">
                  <c:v>4944.7895330627734</c:v>
                </c:pt>
                <c:pt idx="38">
                  <c:v>4946.5331345770346</c:v>
                </c:pt>
                <c:pt idx="39">
                  <c:v>4948.206126169317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7C-4836-8543-5E511F060137}"/>
            </c:ext>
          </c:extLst>
        </c:ser>
        <c:ser>
          <c:idx val="2"/>
          <c:order val="2"/>
          <c:tx>
            <c:strRef>
              <c:f>{"TCR LMER (MWh)"}</c:f>
              <c:strCache>
                <c:ptCount val="1"/>
                <c:pt idx="0">
                  <c:v>TCR LMER (MWh)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'Arcadia (Entregy)'!J3:J42</c:f>
              <c:numCache>
                <c:formatCode>_(* #,##0_);_(* \(#,##0\);_(* "-"??_);_(@_)</c:formatCode>
                <c:ptCount val="40"/>
                <c:pt idx="0">
                  <c:v>5297.7139758747717</c:v>
                </c:pt>
                <c:pt idx="1">
                  <c:v>5323.5511015432267</c:v>
                </c:pt>
                <c:pt idx="2">
                  <c:v>5113.1773033339578</c:v>
                </c:pt>
                <c:pt idx="3">
                  <c:v>4773.3476992228652</c:v>
                </c:pt>
                <c:pt idx="4">
                  <c:v>4602.8748611547871</c:v>
                </c:pt>
                <c:pt idx="5">
                  <c:v>4290.4892978247963</c:v>
                </c:pt>
                <c:pt idx="6">
                  <c:v>3890.5058782849451</c:v>
                </c:pt>
                <c:pt idx="7">
                  <c:v>3769.2065014512277</c:v>
                </c:pt>
                <c:pt idx="8">
                  <c:v>4075.6888645195609</c:v>
                </c:pt>
                <c:pt idx="9">
                  <c:v>4008.7560174443761</c:v>
                </c:pt>
                <c:pt idx="10">
                  <c:v>4025.3598111894062</c:v>
                </c:pt>
                <c:pt idx="11">
                  <c:v>3773.8780732363703</c:v>
                </c:pt>
                <c:pt idx="12">
                  <c:v>3752.4759680899083</c:v>
                </c:pt>
                <c:pt idx="13">
                  <c:v>3759.6106497649507</c:v>
                </c:pt>
                <c:pt idx="14">
                  <c:v>3823.7913483928883</c:v>
                </c:pt>
                <c:pt idx="15">
                  <c:v>3874.0146953737149</c:v>
                </c:pt>
                <c:pt idx="16">
                  <c:v>3933.8339169718738</c:v>
                </c:pt>
                <c:pt idx="17">
                  <c:v>3837.6663028970183</c:v>
                </c:pt>
                <c:pt idx="18">
                  <c:v>3911.4535082924444</c:v>
                </c:pt>
                <c:pt idx="19">
                  <c:v>3891.199035258091</c:v>
                </c:pt>
                <c:pt idx="20">
                  <c:v>3898.6084905561015</c:v>
                </c:pt>
                <c:pt idx="21">
                  <c:v>3891.8791912084043</c:v>
                </c:pt>
                <c:pt idx="22">
                  <c:v>3884.4979614809076</c:v>
                </c:pt>
                <c:pt idx="23">
                  <c:v>3876.6249730324189</c:v>
                </c:pt>
                <c:pt idx="24">
                  <c:v>3868.3698477044782</c:v>
                </c:pt>
                <c:pt idx="25">
                  <c:v>3859.8109427936161</c:v>
                </c:pt>
                <c:pt idx="26">
                  <c:v>3851.0062285360059</c:v>
                </c:pt>
                <c:pt idx="27">
                  <c:v>3841.999807430946</c:v>
                </c:pt>
                <c:pt idx="28">
                  <c:v>3832.8260170858148</c:v>
                </c:pt>
                <c:pt idx="29">
                  <c:v>3823.5121181516047</c:v>
                </c:pt>
                <c:pt idx="30">
                  <c:v>3814.0801156064772</c:v>
                </c:pt>
                <c:pt idx="31">
                  <c:v>3804.5480286821512</c:v>
                </c:pt>
                <c:pt idx="32">
                  <c:v>3794.9307984732691</c:v>
                </c:pt>
                <c:pt idx="33">
                  <c:v>3785.240950694043</c:v>
                </c:pt>
                <c:pt idx="34">
                  <c:v>3775.4890888672653</c:v>
                </c:pt>
                <c:pt idx="35">
                  <c:v>3765.6842675243465</c:v>
                </c:pt>
                <c:pt idx="36">
                  <c:v>3755.8342788579398</c:v>
                </c:pt>
                <c:pt idx="37">
                  <c:v>3745.9458758705564</c:v>
                </c:pt>
                <c:pt idx="38">
                  <c:v>3736.0249482038762</c:v>
                </c:pt>
                <c:pt idx="39">
                  <c:v>3726.0766622138799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FA-42A6-A78C-D0EA87919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9"/>
        <c:overlap val="-32"/>
        <c:axId val="411940127"/>
        <c:axId val="411934367"/>
      </c:barChart>
      <c:catAx>
        <c:axId val="41194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34367"/>
        <c:crosses val="autoZero"/>
        <c:auto val="1"/>
        <c:lblAlgn val="ctr"/>
        <c:lblOffset val="100"/>
        <c:noMultiLvlLbl val="0"/>
      </c:catAx>
      <c:valAx>
        <c:axId val="41193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94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424541</xdr:colOff>
      <xdr:row>11</xdr:row>
      <xdr:rowOff>61230</xdr:rowOff>
    </xdr:from>
    <xdr:to>
      <xdr:col>17</xdr:col>
      <xdr:colOff>172810</xdr:colOff>
      <xdr:row>36</xdr:row>
      <xdr:rowOff>142873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8E2535-B4D2-4EEA-B4AE-D953AA447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415016</xdr:colOff>
      <xdr:row>11</xdr:row>
      <xdr:rowOff>61230</xdr:rowOff>
    </xdr:from>
    <xdr:to>
      <xdr:col>17</xdr:col>
      <xdr:colOff>163285</xdr:colOff>
      <xdr:row>36</xdr:row>
      <xdr:rowOff>142873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F160D6-903A-4058-9034-948E09DAD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319766</xdr:colOff>
      <xdr:row>10</xdr:row>
      <xdr:rowOff>146955</xdr:rowOff>
    </xdr:from>
    <xdr:to>
      <xdr:col>17</xdr:col>
      <xdr:colOff>68035</xdr:colOff>
      <xdr:row>36</xdr:row>
      <xdr:rowOff>66673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796A14-053F-7054-D289-B9E99F253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WINDOWS/TEMP/BCK_UP/00deprec.xls" TargetMode="External"/><Relationship Id="rId1" Type="http://schemas.openxmlformats.org/officeDocument/2006/relationships/externalLinkPath" Target="/WINDOWS/TEMP/BCK_UP/00deprec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CMB-LWL-01/LWLShare/ENG/PROJECTS/8300MKT/Social%20Security%20HQ/Utility/Utility%20Analysis%20Sheet%20NCC.xls" TargetMode="External"/><Relationship Id="rId1" Type="http://schemas.openxmlformats.org/officeDocument/2006/relationships/externalLinkPath" Target="/CMB-LWL-01/LWLShare/ENG/PROJECTS/8300MKT/Social%20Security%20HQ/Utility/Utility%20Analysis%20Sheet%20NC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VLOWERY\BRAD\RENT_SCD\STCHARL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teicht\Local%20Settings\Temporary%20Internet%20Files\OLK1A2\Birchwood%20Valuation%20trued%20bal%20sht%2005150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vidharper/Desktop/CMB-LWL-01/LWLShare/ENG/PROJECTS/8300MKT/Federal%20Market/Pax%20River%20Phase%20II/Bldg.%202187%20-%20gas.xls" TargetMode="External"/><Relationship Id="rId1" Type="http://schemas.openxmlformats.org/officeDocument/2006/relationships/externalLinkPath" Target="/Users/davidharper/Desktop/CMB-LWL-01/LWLShare/ENG/PROJECTS/8300MKT/Federal%20Market/Pax%20River%20Phase%20II/Bldg.%202187%20-%20ga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vidharper/Desktop/CPFPS01/Document/Power%20Group/IWT/Temp.xls" TargetMode="External"/><Relationship Id="rId1" Type="http://schemas.openxmlformats.org/officeDocument/2006/relationships/externalLinkPath" Target="/Users/davidharper/Desktop/CPFPS01/Document/Power%20Group/IWT/Tem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MODEL11.4.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scr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storage1/Tarsadia$/WINDOWS/TEMP/MATRIX.XLS" TargetMode="External"/><Relationship Id="rId1" Type="http://schemas.openxmlformats.org/officeDocument/2006/relationships/externalLinkPath" Target="/storage1/Tarsadia$/WINDOWS/TEMP/MATRIX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PDATA\JEFFK\Lehman\Offering%20Memo\TRCLP%20MEMO\CURRENT%20TRCLP%20MEMO\Occupanc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MATRIX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\SHARED\1999\BUDGET\NED\4924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/oh-s1/DATA/Documents%20and%20Settings/Jessica/Local%20Settings/Temporary%20Internet%20Files/OLKA/For%20Sale%20Analysis.XLS" TargetMode="External"/><Relationship Id="rId1" Type="http://schemas.openxmlformats.org/officeDocument/2006/relationships/externalLinkPath" Target="/oh-s1/DATA/Documents%20and%20Settings/Jessica/Local%20Settings/Temporary%20Internet%20Files/OLKA/For%20Sale%20Analysi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ata\EXCEL\9th%20Floor%20Current%209-02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/storage1/Tarsadia$/Documents%20and%20Settings/criveroll.ALOFTRANCHO/Local%20Settings/Temporary%20Internet%20Files/Content.IE5/OLABWX6N/dwn_AloftOntarioRanchoCucamonga_BNG_12Mo_Dl_Jan_2010_(1).xls" TargetMode="External"/><Relationship Id="rId1" Type="http://schemas.openxmlformats.org/officeDocument/2006/relationships/externalLinkPath" Target="/storage1/Tarsadia$/Documents%20and%20Settings/criveroll.ALOFTRANCHO/Local%20Settings/Temporary%20Internet%20Files/Content.IE5/OLABWX6N/dwn_AloftOntarioRanchoCucamonga_BNG_12Mo_Dl_Jan_2010_(1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U799570\Local%20Settings\Temp\c.data.u799570.notes_cdi\W\WellPoint%20Health%20Networks\Project%20School\Model\Old\Oak%20Preferred%20v1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/oh-s1/DATA/N-sithou-fp0/RealtyServices/unzipped/GSP%20Budget/unzipped/2002%20Budget%20Garden%20State%20Plaza%20Prelim/TEMP/TEMP/ACCOUNTING%20REGION%201/Mthlyrpt/ENFIELD/2000/1000ENF_Financials.xls" TargetMode="External"/><Relationship Id="rId1" Type="http://schemas.openxmlformats.org/officeDocument/2006/relationships/externalLinkPath" Target="/oh-s1/DATA/N-sithou-fp0/RealtyServices/unzipped/GSP%20Budget/unzipped/2002%20Budget%20Garden%20State%20Plaza%20Prelim/TEMP/TEMP/ACCOUNTING%20REGION%201/Mthlyrpt/ENFIELD/2000/1000ENF_Financials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/oh-s1/DATA/N-sithou-fp0/RealtyServices/unzipped/GSP%20Budget/unzipped/2002%20Budget%20Garden%20State%20Plaza%20Prelim/TEMP/TEMP/TEMP/EXCEL/BUDGETS/WCI98/CPM/CPM98.xls" TargetMode="External"/><Relationship Id="rId1" Type="http://schemas.openxmlformats.org/officeDocument/2006/relationships/externalLinkPath" Target="/oh-s1/DATA/N-sithou-fp0/RealtyServices/unzipped/GSP%20Budget/unzipped/2002%20Budget%20Garden%20State%20Plaza%20Prelim/TEMP/TEMP/TEMP/EXCEL/BUDGETS/WCI98/CPM/CPM98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/SERVER1/agendron/JOBS/NEDevWashington/IHM%20and%20Workbook2.xls" TargetMode="External"/><Relationship Id="rId1" Type="http://schemas.openxmlformats.org/officeDocument/2006/relationships/externalLinkPath" Target="/SERVER1/agendron/JOBS/NEDevWashington/IHM%20and%20Workbook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Jessica\Local%20Settings\Temporary%20Internet%20Files\OLKA\For%20Sale%20Analysi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jects\Lend%20Lease%20Portfolio\Sheraton%20JFK%20Airport\hAVE%20projections\Sheraton%20JFK%20Base%20Model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/Max/common/b/beshara/M%20&amp;%20A/Wheel/model_v53j.xls" TargetMode="External"/><Relationship Id="rId1" Type="http://schemas.openxmlformats.org/officeDocument/2006/relationships/externalLinkPath" Target="/Max/common/b/beshara/M%20&amp;%20A/Wheel/model_v53j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OT%20model\TEMP\LBO%20model%20-%20six%20continents%20v2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/oh-s1/DATA/Mailserver/accdata/Celine/Test%20Malls.xls" TargetMode="External"/><Relationship Id="rId1" Type="http://schemas.openxmlformats.org/officeDocument/2006/relationships/externalLinkPath" Target="/oh-s1/DATA/Mailserver/accdata/Celine/Test%20Malls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/Server1/jescarzega/WINDOWS/TEMP/Norwalk%20Pen%20Gen%2031.xls" TargetMode="External"/><Relationship Id="rId1" Type="http://schemas.openxmlformats.org/officeDocument/2006/relationships/externalLinkPath" Target="/Server1/jescarzega/WINDOWS/TEMP/Norwalk%20Pen%20Gen%2031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/oh-s1/DATA/N-sithou-fp0/RealtyServices/unzipped/GSP%20Budget/unzipped/2002%20Budget%20Garden%20State%20Plaza%20Prelim/TEMP/TEMP/ACCOUNTING%20REGION%201/Budget/ENF/ENF_%25Rent%20200_%20Budget.xls" TargetMode="External"/><Relationship Id="rId1" Type="http://schemas.openxmlformats.org/officeDocument/2006/relationships/externalLinkPath" Target="/oh-s1/DATA/N-sithou-fp0/RealtyServices/unzipped/GSP%20Budget/unzipped/2002%20Budget%20Garden%20State%20Plaza%20Prelim/TEMP/TEMP/ACCOUNTING%20REGION%201/Budget/ENF/ENF_%25Rent%20200_%20Budg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preciation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tu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Recap (2)"/>
      <sheetName val="St. Charles -New"/>
      <sheetName val="St. Charles"/>
      <sheetName val="St. Charles - Apt Number"/>
      <sheetName val="Brooks on Preston"/>
      <sheetName val="Creekside Homes at Legacy"/>
      <sheetName val="LaSalle"/>
      <sheetName val="Waters Edge"/>
      <sheetName val="Jefferson at Prestonwood Hills"/>
      <sheetName val="La Ventura"/>
      <sheetName val="Reserve at Charles Place"/>
      <sheetName val="Ranch at Ridgeview"/>
      <sheetName val="Settler's Gate"/>
      <sheetName val="Stonegate"/>
      <sheetName val="Bentley Wynde"/>
      <sheetName val="Villas of Preston Creek"/>
      <sheetName val="Bristol Oak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uation"/>
      <sheetName val="Financials"/>
      <sheetName val="Market Line"/>
      <sheetName val="Put Option Valuation"/>
      <sheetName val="Menu"/>
      <sheetName val="Summary"/>
      <sheetName val="Actuals"/>
      <sheetName val="Greenhost"/>
      <sheetName val="FinPlan"/>
      <sheetName val="SEI Birchwood"/>
      <sheetName val="East"/>
      <sheetName val="PatPlan"/>
      <sheetName val="Supplemental Data"/>
      <sheetName val="BPP Bal Sheet"/>
      <sheetName val="BPP Income St"/>
      <sheetName val="BPP Cash Flow"/>
      <sheetName val="Fin Inputs"/>
      <sheetName val="Capex Inputs"/>
      <sheetName val="Inputs"/>
      <sheetName val="Production Inputs"/>
      <sheetName val="Con Output"/>
      <sheetName val="Income Tax_SEI Birch"/>
      <sheetName val="Graphs"/>
      <sheetName val="Tables"/>
      <sheetName val="Print Info"/>
      <sheetName val="FinPlan Output"/>
      <sheetName val="MenuSheet"/>
      <sheetName val="Budget"/>
      <sheetName val="Drop Down Lists"/>
      <sheetName val="Sheet1"/>
      <sheetName val="Picklist"/>
      <sheetName val="List"/>
      <sheetName val="21 - GP Rtn"/>
      <sheetName val="8 - LP Rtn"/>
      <sheetName val="1999 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il #2"/>
      <sheetName val="Oil #4"/>
      <sheetName val="Btus"/>
      <sheetName val="Gas"/>
      <sheetName val="Instr."/>
      <sheetName val="Electric"/>
      <sheetName val="Gas (2)"/>
      <sheetName val="Gas (3)"/>
      <sheetName val="Gas (4)"/>
      <sheetName val="Oil #6"/>
      <sheetName val="Steam"/>
      <sheetName val="Water"/>
      <sheetName val="NOTES"/>
      <sheetName val="BTUChart"/>
      <sheetName val="MACROS"/>
      <sheetName val="PRINTING"/>
      <sheetName val="open d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3"/>
      <sheetName val="Temp"/>
      <sheetName val="Cases"/>
      <sheetName val="Projections"/>
      <sheetName val="Assumptions"/>
      <sheetName val="Puna"/>
      <sheetName val="DP3A 30 MW"/>
      <sheetName val="#REF"/>
      <sheetName val="acc dil"/>
      <sheetName val="Ratio analysis"/>
      <sheetName val="Cover"/>
      <sheetName val="Rating Agency Analysis"/>
      <sheetName val="cov2"/>
      <sheetName val="Assumptions_paste"/>
      <sheetName val="IPO A$ Balance Sheet"/>
      <sheetName val="Dec YE BS"/>
      <sheetName val="Balance Sheet_Quarterly"/>
      <sheetName val="Dec YE P&amp;L"/>
      <sheetName val="Profit &amp; Loss_Quarterly"/>
      <sheetName val="Debt Schedule"/>
      <sheetName val="Portfolio"/>
      <sheetName val="Asset Schedule"/>
      <sheetName val="data"/>
      <sheetName val="Inpu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Debt Coverage"/>
      <sheetName val="LC Expense"/>
      <sheetName val="Debt Service"/>
      <sheetName val="O&amp;M"/>
      <sheetName val="Start Charges"/>
      <sheetName val="Plant Operations"/>
      <sheetName val="Fuel"/>
      <sheetName val="Capacity and Energy Pricing"/>
      <sheetName val="Availability Calcs"/>
      <sheetName val="Capital Cost"/>
      <sheetName val="Draw Schedule"/>
      <sheetName val="Average Loan Life"/>
      <sheetName val="Budget"/>
      <sheetName val="List"/>
      <sheetName val="scratch"/>
      <sheetName val="ODC"/>
      <sheetName val="Rates &amp; Schedules"/>
      <sheetName val="7 Sisters Custom Schedules"/>
      <sheetName val="Summary"/>
      <sheetName val="DataIn_CC"/>
      <sheetName val="SNL-Q12020"/>
      <sheetName val="Inputs"/>
      <sheetName val="FAB별"/>
      <sheetName val="Dept Ctrl Exp"/>
      <sheetName val="synthgraph"/>
      <sheetName val="Title"/>
      <sheetName val="Sales"/>
      <sheetName val="Graph"/>
      <sheetName val="PPTO20002"/>
      <sheetName val="Drop Down Lists"/>
      <sheetName val="Sheet1"/>
      <sheetName val="1999 BUDGET"/>
      <sheetName val="JAN-07"/>
      <sheetName val="BSS"/>
      <sheetName val="Process Tools-Owned"/>
      <sheetName val="P4 -Options Exercised FebFY13"/>
      <sheetName val="P5 - ESPP 031513 Purchase"/>
      <sheetName val="P6 - RSU Releases FebFY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bles_graph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cupancy"/>
      <sheetName val="Expiration"/>
      <sheetName val="SFbyGEO"/>
      <sheetName val="CBDAssets"/>
      <sheetName val="Biz Plan I"/>
      <sheetName val="Biz Plan II"/>
      <sheetName val="MRI Expire Table"/>
      <sheetName val="D"/>
      <sheetName val="Occupany Input"/>
      <sheetName val="Occupancy Core"/>
      <sheetName val="Exp 4Assets"/>
      <sheetName val="Exp Fund"/>
      <sheetName val="Exp"/>
      <sheetName val="Exp (Argus)"/>
      <sheetName val="SubMkt"/>
      <sheetName val="Market Occupancy"/>
      <sheetName val="MRIExp10_30"/>
      <sheetName val="ExpTable_3_02"/>
      <sheetName val="@TASK114_404_1"/>
      <sheetName val="@TASK114_966"/>
      <sheetName val="@TASK114_578"/>
      <sheetName val="Data Table"/>
      <sheetName val="MRI Expire Table_Jan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_graphs"/>
      <sheetName val="Summary"/>
      <sheetName val="IRR_Calculation"/>
    </sheetNames>
    <sheetDataSet>
      <sheetData sheetId="0"/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9 BUDGET"/>
      <sheetName val="1998 REFORECAST"/>
      <sheetName val="VARIANCE ANALYSIS"/>
      <sheetName val="PSF"/>
      <sheetName val="4 YEAR NOI"/>
      <sheetName val="CAPITAL EXPENDITURES"/>
      <sheetName val="CAM DEP'N_AMORTIZATION_2000"/>
      <sheetName val="CAM DEP'N_AMORTIZATION"/>
      <sheetName val="DEFERRED EXPENSES"/>
      <sheetName val="MINIMUM &amp; OVERAGE RENT"/>
      <sheetName val="SPECIALTY LEASING INCOME"/>
      <sheetName val="CAM INCOME"/>
      <sheetName val="REAL ESTATE TAX INCOME"/>
      <sheetName val="UTILITY INCOME"/>
      <sheetName val="INTEREST-OTHER INCOME"/>
      <sheetName val="4001 PAYROLL"/>
      <sheetName val="4002 PAYROLL TAXES"/>
      <sheetName val="4004 BENEFITS"/>
      <sheetName val="4005 REIMBURSEMENTS"/>
      <sheetName val="4008 CLEANING"/>
      <sheetName val="4010 TRAVEL"/>
      <sheetName val="4012 CONTRACTED SERVICES"/>
      <sheetName val="4013 MATERIALS &amp; SUPPLIES"/>
      <sheetName val="4014 REPAIRS &amp; MAINTENANCE"/>
      <sheetName val="4015 EQUIPMENT RENTAL"/>
      <sheetName val="4016 UTILITIES - ELECTRIC"/>
      <sheetName val="4017 UTILITIES - GAS &amp; OIL"/>
      <sheetName val="4018 UTILITIES- WATER &amp; SEWER"/>
      <sheetName val="4019 DUES"/>
      <sheetName val="4020 SUBSCRIPTIONS"/>
      <sheetName val="4021 OFFICE EXPENSES"/>
      <sheetName val="4022 COPIER EXPENSE"/>
      <sheetName val="4023 TELEPHONE"/>
      <sheetName val="4024 GIFT &amp; HOLIDAY"/>
      <sheetName val="4025 PARKING LOT REPAIR"/>
      <sheetName val="4026 ROAD REPAIR"/>
      <sheetName val="4027 ROOF REPAIR"/>
      <sheetName val="4030 SALES PROMOTION"/>
      <sheetName val="4031 SPECIALTY LEASING EXPENSE"/>
      <sheetName val="4034 EDUCATION"/>
      <sheetName val="4040 MANAGEMENT FEE"/>
      <sheetName val="4041 SNOW REMOVAL"/>
      <sheetName val="4042 MANAGEMENT FEE"/>
      <sheetName val="4043 PARKING LOT RENTAL"/>
      <sheetName val="4044 ACCOUNTING AND AUDITING"/>
      <sheetName val="4045 PROF SERVICES - LEGAL"/>
      <sheetName val="4046 PROF SERVICES - OTHER"/>
      <sheetName val="4047 INSURANCE"/>
      <sheetName val="4049 MARKETING CONTRIBUTIONS"/>
      <sheetName val="4050 BAD DEBTS"/>
      <sheetName val="4070 CHARITABLE CONTRIBUTIONS"/>
      <sheetName val="4071 REAL ESTATE TAXES"/>
      <sheetName val="4072 INTEREST EXPENSE"/>
      <sheetName val="4073 DEPRECIATION"/>
      <sheetName val="4074 AMORTIZATION"/>
      <sheetName val="PROMO INTERCOMPANY"/>
      <sheetName val="SQUARE FOOTAGE"/>
      <sheetName val="PAYROLL"/>
      <sheetName val="BENEFITS"/>
      <sheetName val="UTILITIES"/>
      <sheetName val="AP ALLOC"/>
      <sheetName val="PROOF PAGE"/>
      <sheetName val="Interface"/>
      <sheetName val="Assumption Schedule"/>
      <sheetName val="1999_BUDGET"/>
      <sheetName val="1998_REFORECAST"/>
      <sheetName val="VARIANCE_ANALYSIS"/>
      <sheetName val="4_YEAR_NOI"/>
      <sheetName val="CAPITAL_EXPENDITURES"/>
      <sheetName val="CAM_DEP'N_AMORTIZATION_2000"/>
      <sheetName val="CAM_DEP'N_AMORTIZATION"/>
      <sheetName val="DEFERRED_EXPENSES"/>
      <sheetName val="MINIMUM_&amp;_OVERAGE_RENT"/>
      <sheetName val="SPECIALTY_LEASING_INCOME"/>
      <sheetName val="CAM_INCOME"/>
      <sheetName val="REAL_ESTATE_TAX_INCOME"/>
      <sheetName val="UTILITY_INCOME"/>
      <sheetName val="INTEREST-OTHER_INCOME"/>
      <sheetName val="4001_PAYROLL"/>
      <sheetName val="4002_PAYROLL_TAXES"/>
      <sheetName val="4004_BENEFITS"/>
      <sheetName val="4005_REIMBURSEMENTS"/>
      <sheetName val="4008_CLEANING"/>
      <sheetName val="4010_TRAVEL"/>
      <sheetName val="4012_CONTRACTED_SERVICES"/>
      <sheetName val="4013_MATERIALS_&amp;_SUPPLIES"/>
      <sheetName val="4014_REPAIRS_&amp;_MAINTENANCE"/>
      <sheetName val="4015_EQUIPMENT_RENTAL"/>
      <sheetName val="4016_UTILITIES_-_ELECTRIC"/>
      <sheetName val="4017_UTILITIES_-_GAS_&amp;_OIL"/>
      <sheetName val="4018_UTILITIES-_WATER_&amp;_SEWER"/>
      <sheetName val="4019_DUES"/>
      <sheetName val="4020_SUBSCRIPTIONS"/>
      <sheetName val="4021_OFFICE_EXPENSES"/>
      <sheetName val="4022_COPIER_EXPENSE"/>
      <sheetName val="4023_TELEPHONE"/>
      <sheetName val="4024_GIFT_&amp;_HOLIDAY"/>
      <sheetName val="4025_PARKING_LOT_REPAIR"/>
      <sheetName val="4026_ROAD_REPAIR"/>
      <sheetName val="4027_ROOF_REPAIR"/>
      <sheetName val="4030_SALES_PROMOTION"/>
      <sheetName val="4031_SPECIALTY_LEASING_EXPENSE"/>
      <sheetName val="4034_EDUCATION"/>
      <sheetName val="4040_MANAGEMENT_FEE"/>
      <sheetName val="4041_SNOW_REMOVAL"/>
      <sheetName val="4042_MANAGEMENT_FEE"/>
      <sheetName val="4043_PARKING_LOT_RENTAL"/>
      <sheetName val="4044_ACCOUNTING_AND_AUDITING"/>
      <sheetName val="4045_PROF_SERVICES_-_LEGAL"/>
      <sheetName val="4046_PROF_SERVICES_-_OTHER"/>
      <sheetName val="4047_INSURANCE"/>
      <sheetName val="4049_MARKETING_CONTRIBUTIONS"/>
      <sheetName val="4050_BAD_DEBTS"/>
      <sheetName val="4070_CHARITABLE_CONTRIBUTIONS"/>
      <sheetName val="4071_REAL_ESTATE_TAXES"/>
      <sheetName val="4072_INTEREST_EXPENSE"/>
      <sheetName val="4073_DEPRECIATION"/>
      <sheetName val="4074_AMORTIZATION"/>
      <sheetName val="PROMO_INTERCOMPANY"/>
      <sheetName val="SQUARE_FOOTAGE"/>
      <sheetName val="AP_ALLOC"/>
      <sheetName val="PROOF_PAGE"/>
      <sheetName val="Generation"/>
      <sheetName val="1993FY"/>
      <sheetName val="Control"/>
      <sheetName val="Management Fee Calculation"/>
      <sheetName val="G702"/>
      <sheetName val="cover"/>
      <sheetName val="BaseDomRaw"/>
      <sheetName val="UPCHWPII"/>
      <sheetName val=""/>
      <sheetName val="#REF"/>
      <sheetName val="HIOS 93 thru 96"/>
      <sheetName val="CAMACTUAL"/>
      <sheetName val="OCCUPANC"/>
      <sheetName val="CAMWMSON"/>
      <sheetName val="Drop Down Lists"/>
      <sheetName val="plan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me Sale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 9-02"/>
      <sheetName val="9th Floor Current 9-02"/>
      <sheetName val="Assumptions"/>
      <sheetName val="Amort Schedule"/>
      <sheetName val="Input"/>
      <sheetName val="Model"/>
      <sheetName val="Database - Tenant"/>
      <sheetName val="Input (Real Estate)"/>
      <sheetName val="Cash Flow Proforma"/>
      <sheetName val="#REF"/>
      <sheetName val="Pivots"/>
      <sheetName val="Help"/>
      <sheetName val="RR Import"/>
      <sheetName val="Controls"/>
      <sheetName val="Sheet2"/>
      <sheetName val="Summary"/>
      <sheetName val="Compare"/>
      <sheetName val="FORMULAS - Hide Tab!"/>
      <sheetName val="1"/>
      <sheetName val="Reference"/>
      <sheetName val="Current 9_02"/>
      <sheetName val="Budget"/>
      <sheetName val="Home Sales"/>
      <sheetName val="Scrap"/>
      <sheetName val="Funds Applicable"/>
      <sheetName val="Project Inputs"/>
      <sheetName val="Comp"/>
      <sheetName val="Husq."/>
      <sheetName val="Support (Don't Delete)"/>
      <sheetName val="GSChartLabels"/>
      <sheetName val="Forward Prices"/>
      <sheetName val="HIOS 93 thru 96"/>
      <sheetName val="REINS PAYABLE (ACC 42)"/>
      <sheetName val="Returns"/>
      <sheetName val="PopCache"/>
      <sheetName val="File Mgmt"/>
      <sheetName val="Grand Ridge Splits"/>
      <sheetName val="2020 Budget Details"/>
      <sheetName val="2016 Budget"/>
      <sheetName val="2016 Actual"/>
      <sheetName val="Pivot"/>
      <sheetName val="Grand Ridge I- OpEx"/>
      <sheetName val="Grand Ridge EXP - OpEx"/>
      <sheetName val="Grand Ridge IV - OpEx"/>
      <sheetName val="0. Budget Summary &amp; Inputs"/>
      <sheetName val="1. Budget Summary"/>
      <sheetName val="Tracking Accounts_2018"/>
      <sheetName val="3.2 Bud v ProF (Rev, Opex, PTC)"/>
      <sheetName val="3.3 Bud v ProF (OpEx)"/>
      <sheetName val="2. Bud v Bud"/>
      <sheetName val="B vs PF Distributions"/>
      <sheetName val="CAPEX"/>
      <sheetName val="4. Bud v ProF Distbs."/>
      <sheetName val="5. Bud vs CDPQ"/>
      <sheetName val="Project 4- OpEx"/>
      <sheetName val="Project 5- OpEx"/>
      <sheetName val="Budget Upload Template - GL"/>
      <sheetName val="Budget Upload Template - PRJTS"/>
      <sheetName val="GL COST CENTER ALLOCATION"/>
      <sheetName val="Old GL &gt; New GL"/>
      <sheetName val="Transaction Controls"/>
      <sheetName val="Chart of Accounts (COA)"/>
      <sheetName val="GL_Task_PurCat_ExpType"/>
      <sheetName val="LDMI"/>
      <sheetName val="Post-refi"/>
      <sheetName val="Annual Input"/>
      <sheetName val="IS, BS, CF"/>
      <sheetName val="Monthly Input"/>
      <sheetName val="Depr,Goodwill"/>
      <sheetName val="BD"/>
      <sheetName val="Web"/>
      <sheetName val="G&amp;A"/>
      <sheetName val="Headcount &amp; Options"/>
      <sheetName val="Mktg"/>
      <sheetName val="IT"/>
      <sheetName val="Other"/>
      <sheetName val="ID"/>
      <sheetName val="SD"/>
      <sheetName val="Sales"/>
      <sheetName val="IS, BS, CF Monthly"/>
      <sheetName val="MDE_CF_QTRLY"/>
      <sheetName val="V"/>
      <sheetName val="ptr cap accts"/>
      <sheetName val="Inc &amp; Exp Assump (1)"/>
      <sheetName val="Underwriting"/>
      <sheetName val="Closing Costs"/>
      <sheetName val="Amort"/>
      <sheetName val="PARAM"/>
      <sheetName val="Netearnanal"/>
      <sheetName val="profee"/>
      <sheetName val="vbInit"/>
      <sheetName val="vbControl"/>
      <sheetName val="vbGLWiz"/>
      <sheetName val="vbValidate"/>
      <sheetName val="vbParseCell"/>
      <sheetName val="sMainCtrl"/>
      <sheetName val="vbMisc"/>
      <sheetName val="vbPltCode"/>
      <sheetName val="dGLTrx1"/>
      <sheetName val="dGLTrx2"/>
      <sheetName val="dGLTrx3"/>
      <sheetName val="dGLTrx4"/>
      <sheetName val="dGLTrx5"/>
      <sheetName val="dDatabases"/>
      <sheetName val="ResultSet"/>
      <sheetName val="GLTRXIMP"/>
      <sheetName val="(5)Detail-Central&amp; Can"/>
      <sheetName val="Sheet1"/>
      <sheetName val="Data"/>
      <sheetName val="Current_9-02"/>
      <sheetName val="9th_Floor_Current_9-02"/>
      <sheetName val="Amort_Schedule"/>
      <sheetName val="Database_-_Tenant"/>
      <sheetName val="Input_(Real_Estate)"/>
      <sheetName val="Cash_Flow_Proforma"/>
      <sheetName val="RR_Import"/>
      <sheetName val="Owned Hotels"/>
      <sheetName val="Estimate"/>
      <sheetName val="Code"/>
      <sheetName val="FORMULAS_-_Hide_Tab!"/>
      <sheetName val="Current_9_02"/>
      <sheetName val="Home_Sales"/>
      <sheetName val="Funds_Applicable"/>
      <sheetName val="Project_Inputs"/>
      <sheetName val="Husq_"/>
      <sheetName val="Support_(Don't_Delete)"/>
      <sheetName val="Forward_Prices"/>
      <sheetName val="REINS_PAYABLE_(ACC_42)"/>
      <sheetName val="HIOS_93_thru_96"/>
      <sheetName val="Annual_Input"/>
      <sheetName val="IS,_BS,_CF"/>
      <sheetName val="Monthly_Input"/>
      <sheetName val="Headcount_&amp;_Options"/>
      <sheetName val="IS,_BS,_CF_Monthly"/>
      <sheetName val="File_Mgmt"/>
      <sheetName val="Grand_Ridge_Splits"/>
      <sheetName val="2020_Budget_Details"/>
      <sheetName val="2016_Budget"/>
      <sheetName val="2016_Actual"/>
      <sheetName val="Grand_Ridge_I-_OpEx"/>
      <sheetName val="Grand_Ridge_EXP_-_OpEx"/>
      <sheetName val="Grand_Ridge_IV_-_OpEx"/>
      <sheetName val="0__Budget_Summary_&amp;_Inputs"/>
      <sheetName val="1__Budget_Summary"/>
      <sheetName val="Tracking_Accounts_2018"/>
      <sheetName val="3_2_Bud_v_ProF_(Rev,_Opex,_PTC)"/>
      <sheetName val="3_3_Bud_v_ProF_(OpEx)"/>
      <sheetName val="2__Bud_v_Bud"/>
      <sheetName val="B_vs_PF_Distributions"/>
      <sheetName val="4__Bud_v_ProF_Distbs_"/>
      <sheetName val="5__Bud_vs_CDPQ"/>
      <sheetName val="Project_4-_OpEx"/>
      <sheetName val="Project_5-_OpEx"/>
      <sheetName val="Budget_Upload_Template_-_GL"/>
      <sheetName val="Budget_Upload_Template_-_PRJTS"/>
      <sheetName val="GL_COST_CENTER_ALLOCATION"/>
      <sheetName val="Old_GL_&gt;_New_GL"/>
      <sheetName val="Transaction_Controls"/>
      <sheetName val="Chart_of_Accounts_(COA)"/>
      <sheetName val="QALICB Loan A #3"/>
      <sheetName val="EBITDA"/>
      <sheetName val="IS - Q Summary"/>
      <sheetName val="CIM Summary"/>
      <sheetName val="Proforma EBITDA"/>
      <sheetName val="Proforma Revenue"/>
      <sheetName val="BS - A"/>
      <sheetName val="Valuation"/>
      <sheetName val="Charts"/>
      <sheetName val="Mgmt Deck Sum"/>
      <sheetName val="Revenue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aundry"/>
      <sheetName val="Admin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Main Input"/>
      <sheetName val="Oak Preferred v1"/>
      <sheetName val="Inputs"/>
      <sheetName val="PF IS"/>
      <sheetName val="T BS"/>
      <sheetName val="T P&amp;L"/>
      <sheetName val="CREDIT STATS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in Rent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HEDULE B+C"/>
      <sheetName val="SCHEDULE E "/>
      <sheetName val="MARKETING III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ected CF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ruction"/>
      <sheetName val="Home Sales"/>
      <sheetName val="Account"/>
      <sheetName val="Inputs"/>
      <sheetName val="Home_Sales"/>
      <sheetName val="For%20Sale%20Analysis.XLS"/>
      <sheetName val="Lessee - Project 1 Monthly"/>
      <sheetName val="Lessee - Project 2 Monthly"/>
      <sheetName val="Lessee_-_Project_1_Monthly"/>
      <sheetName val="Lessee_-_Project_2_Monthly"/>
      <sheetName val="Series"/>
      <sheetName val="For Sale Analysis"/>
      <sheetName val="Matrix"/>
      <sheetName val="WM"/>
      <sheetName val="Sempra Post-PPA Curve"/>
      <sheetName val="Hf"/>
      <sheetName val="Overhead G&amp;A"/>
      <sheetName val="Draw Schedule"/>
      <sheetName val="Finance"/>
      <sheetName val="Consol P&amp;L"/>
      <sheetName val="Tax Equity"/>
      <sheetName val="General"/>
      <sheetName val="crews"/>
      <sheetName val="Operations"/>
      <sheetName val="Input 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Historic Market"/>
      <sheetName val="Market Report"/>
      <sheetName val="YTD Market Report"/>
      <sheetName val="Property Summary"/>
      <sheetName val="Projected Occupancy"/>
      <sheetName val="Projected Rate"/>
      <sheetName val="Historical Financials"/>
      <sheetName val="Comparable Financials"/>
      <sheetName val="HOST"/>
      <sheetName val="Projected CF"/>
      <sheetName val="Look, Mom, NO HANDS!"/>
      <sheetName val="Valuation"/>
      <sheetName val="System Tools"/>
      <sheetName val="DlgIncrement"/>
      <sheetName val="DlgAbout"/>
      <sheetName val="DlgProject"/>
      <sheetName val="ihmModMain"/>
      <sheetName val="IHMModPrint"/>
      <sheetName val="IHMModSys"/>
      <sheetName val="IHMModXLA"/>
      <sheetName val="Line_Item_Unhide"/>
      <sheetName val="POR_PAR_POS"/>
      <sheetName val="Line_Item_H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REDIT STAT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IV INC"/>
      <sheetName val="Assumptions Output"/>
      <sheetName val="KKR Inputs"/>
      <sheetName val="Tax"/>
      <sheetName val="IRRs"/>
      <sheetName val="EQ. IRR"/>
      <sheetName val="Mezz IRRs"/>
      <sheetName val="DCF 3"/>
      <sheetName val="Output"/>
      <sheetName val="Pitch Output"/>
      <sheetName val="Fin Sum Output"/>
      <sheetName val="S&amp;P"/>
      <sheetName val="Toggles"/>
      <sheetName val="Data"/>
      <sheetName val="Mezz IRRs 6 monthly interests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LBO%20model%20-%20six%20contine"/>
      <sheetName val="LBO model - six continents v2"/>
      <sheetName val="Parameters"/>
      <sheetName val="GreenSt"/>
      <sheetName val="RealtyStock"/>
      <sheetName val="Inpu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SMGLA1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oject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% Rent OL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1E0F-2EAD-4CCD-BC14-5EE922677E9D}">
  <sheetPr>
    <tabColor rgb="FFFBEF97"/>
  </sheetPr>
  <dimension ref="A1:M45"/>
  <sheetViews>
    <sheetView showGridLines="0" zoomScale="140" zoomScaleNormal="140" workbookViewId="0">
      <selection activeCell="H3" sqref="H3"/>
    </sheetView>
  </sheetViews>
  <sheetFormatPr defaultColWidth="8.85546875" defaultRowHeight="12.75"/>
  <cols>
    <col min="1" max="1" width="8.85546875" style="22"/>
    <col min="2" max="2" width="31.85546875" style="23" customWidth="1"/>
    <col min="3" max="3" width="17.85546875" style="23" customWidth="1"/>
    <col min="4" max="4" width="25.7109375" style="23" customWidth="1"/>
    <col min="5" max="5" width="35.42578125" style="23" bestFit="1" customWidth="1"/>
    <col min="6" max="6" width="35.140625" style="23" bestFit="1" customWidth="1"/>
    <col min="7" max="7" width="25.28515625" style="23" bestFit="1" customWidth="1"/>
    <col min="8" max="8" width="22.85546875" style="23" bestFit="1" customWidth="1"/>
    <col min="9" max="10" width="22.85546875" style="23" customWidth="1"/>
    <col min="11" max="11" width="11.7109375" style="23" customWidth="1"/>
    <col min="12" max="12" width="47.7109375" style="23" customWidth="1"/>
    <col min="13" max="13" width="39.42578125" style="23" customWidth="1"/>
    <col min="14" max="14" width="14.42578125" style="23" bestFit="1" customWidth="1"/>
    <col min="15" max="16384" width="8.85546875" style="23"/>
  </cols>
  <sheetData>
    <row r="1" spans="1:13" ht="15.75" customHeight="1">
      <c r="A1" s="80" t="s">
        <v>0</v>
      </c>
      <c r="B1" s="81"/>
      <c r="C1" s="81"/>
      <c r="D1" s="81"/>
      <c r="E1" s="82"/>
      <c r="F1" s="83" t="s">
        <v>1</v>
      </c>
      <c r="G1" s="84"/>
      <c r="H1" s="84"/>
      <c r="I1" s="106" t="s">
        <v>2</v>
      </c>
      <c r="J1" s="107"/>
    </row>
    <row r="2" spans="1:13" ht="12.95" customHeight="1">
      <c r="A2" s="52" t="s">
        <v>3</v>
      </c>
      <c r="B2" s="53" t="s">
        <v>4</v>
      </c>
      <c r="C2" s="53" t="s">
        <v>5</v>
      </c>
      <c r="D2" s="53" t="s">
        <v>6</v>
      </c>
      <c r="E2" s="54" t="s">
        <v>7</v>
      </c>
      <c r="F2" s="31" t="s">
        <v>8</v>
      </c>
      <c r="G2" s="32" t="s">
        <v>9</v>
      </c>
      <c r="H2" s="32" t="s">
        <v>10</v>
      </c>
      <c r="I2" s="103" t="s">
        <v>2</v>
      </c>
      <c r="J2" s="108" t="s">
        <v>10</v>
      </c>
      <c r="K2" s="24"/>
      <c r="L2" s="86" t="s">
        <v>11</v>
      </c>
      <c r="M2" s="87"/>
    </row>
    <row r="3" spans="1:13" ht="12.95" customHeight="1">
      <c r="A3" s="55">
        <v>1</v>
      </c>
      <c r="B3" s="56">
        <v>10166</v>
      </c>
      <c r="C3" s="57"/>
      <c r="D3" s="58">
        <f>1-C4</f>
        <v>0.997</v>
      </c>
      <c r="E3" s="59">
        <f>(B3*$M$6)/2205</f>
        <v>5590.8346323319729</v>
      </c>
      <c r="F3" s="34">
        <v>1070.9774922191291</v>
      </c>
      <c r="G3" s="35">
        <v>1</v>
      </c>
      <c r="H3" s="93">
        <f>F3*$M$5/1000000</f>
        <v>6496.5494678012374</v>
      </c>
      <c r="I3" s="97">
        <v>0.52549305321073836</v>
      </c>
      <c r="J3" s="91">
        <f>I3*B3</f>
        <v>5342.1623789403666</v>
      </c>
      <c r="K3" s="25"/>
      <c r="L3" s="46" t="s">
        <v>12</v>
      </c>
      <c r="M3" s="44" t="s">
        <v>13</v>
      </c>
    </row>
    <row r="4" spans="1:13">
      <c r="A4" s="60">
        <v>2</v>
      </c>
      <c r="B4" s="61">
        <f>B3-(B3*C4)</f>
        <v>10135.502</v>
      </c>
      <c r="C4" s="62">
        <v>3.0000000000000001E-3</v>
      </c>
      <c r="D4" s="63">
        <f t="shared" ref="D4:D42" si="0">D3-C4</f>
        <v>0.99399999999999999</v>
      </c>
      <c r="E4" s="64">
        <f>(B4*$M$6)/2205</f>
        <v>5574.0621284349772</v>
      </c>
      <c r="F4" s="37">
        <v>1098.4736266728846</v>
      </c>
      <c r="G4" s="28">
        <f>F4*$G$3/$F$3</f>
        <v>1.0256738677082577</v>
      </c>
      <c r="H4" s="88">
        <f>F4*$M$5/1000000</f>
        <v>6663.3410193977188</v>
      </c>
      <c r="I4" s="98">
        <v>0.54044037339589157</v>
      </c>
      <c r="J4" s="91">
        <f t="shared" ref="J4:J42" si="1">I4*B4</f>
        <v>5477.6344854348063</v>
      </c>
      <c r="K4" s="25"/>
      <c r="L4" s="47" t="s">
        <v>14</v>
      </c>
      <c r="M4" s="45" t="s">
        <v>15</v>
      </c>
    </row>
    <row r="5" spans="1:13">
      <c r="A5" s="60">
        <v>3</v>
      </c>
      <c r="B5" s="61">
        <f>B4-(B4*C5)</f>
        <v>10105.095494000001</v>
      </c>
      <c r="C5" s="65">
        <f>$C$4</f>
        <v>3.0000000000000001E-3</v>
      </c>
      <c r="D5" s="63">
        <f>D4-C5</f>
        <v>0.99099999999999999</v>
      </c>
      <c r="E5" s="64">
        <f>(B5*$M$6)/2205</f>
        <v>5557.3399420496726</v>
      </c>
      <c r="F5" s="37">
        <v>1116.9507398266226</v>
      </c>
      <c r="G5" s="28">
        <f t="shared" ref="G5:G42" si="2">F5*$G$3/$F$3</f>
        <v>1.0429264367752811</v>
      </c>
      <c r="H5" s="88">
        <f>F5*$M$5/1000000</f>
        <v>6775.423187788293</v>
      </c>
      <c r="I5" s="98">
        <v>0.55173505442505</v>
      </c>
      <c r="J5" s="91">
        <f t="shared" si="1"/>
        <v>5575.3354123524177</v>
      </c>
      <c r="K5" s="25"/>
      <c r="L5" s="47" t="s">
        <v>16</v>
      </c>
      <c r="M5" s="42">
        <v>6066000</v>
      </c>
    </row>
    <row r="6" spans="1:13">
      <c r="A6" s="60">
        <v>4</v>
      </c>
      <c r="B6" s="61">
        <f t="shared" ref="B6" si="3">B5-(B5*C6)</f>
        <v>10074.780207518001</v>
      </c>
      <c r="C6" s="65">
        <f t="shared" ref="C6:C42" si="4">$C$4</f>
        <v>3.0000000000000001E-3</v>
      </c>
      <c r="D6" s="63">
        <f t="shared" si="0"/>
        <v>0.98799999999999999</v>
      </c>
      <c r="E6" s="64">
        <f>(B6*$M$6)/2205</f>
        <v>5540.6679222235234</v>
      </c>
      <c r="F6" s="37">
        <v>1087.1141776730169</v>
      </c>
      <c r="G6" s="28">
        <f t="shared" si="2"/>
        <v>1.015067249845234</v>
      </c>
      <c r="H6" s="88">
        <f>F6*$M$5/1000000</f>
        <v>6594.4346017645203</v>
      </c>
      <c r="I6" s="98">
        <v>0.53124611962661816</v>
      </c>
      <c r="J6" s="91">
        <f t="shared" si="1"/>
        <v>5352.1878913349929</v>
      </c>
      <c r="K6" s="25"/>
      <c r="L6" s="47" t="s">
        <v>17</v>
      </c>
      <c r="M6" s="42">
        <v>1212.649062</v>
      </c>
    </row>
    <row r="7" spans="1:13">
      <c r="A7" s="60">
        <v>5</v>
      </c>
      <c r="B7" s="61">
        <f>B6-(B6*C7)</f>
        <v>10044.555866895447</v>
      </c>
      <c r="C7" s="65">
        <f t="shared" si="4"/>
        <v>3.0000000000000001E-3</v>
      </c>
      <c r="D7" s="63">
        <f t="shared" si="0"/>
        <v>0.98499999999999999</v>
      </c>
      <c r="E7" s="64">
        <f>(B7*$M$6)/2205</f>
        <v>5524.0459184568526</v>
      </c>
      <c r="F7" s="37">
        <v>1058.4684888872016</v>
      </c>
      <c r="G7" s="28">
        <f t="shared" si="2"/>
        <v>0.98832001286412841</v>
      </c>
      <c r="H7" s="88">
        <f>F7*$M$5/1000000</f>
        <v>6420.6698535897649</v>
      </c>
      <c r="I7" s="98">
        <v>0.51714758537571459</v>
      </c>
      <c r="J7" s="91">
        <f t="shared" si="1"/>
        <v>5194.5178127364479</v>
      </c>
      <c r="K7" s="25"/>
      <c r="L7" s="48" t="s">
        <v>18</v>
      </c>
      <c r="M7" s="43">
        <v>1676</v>
      </c>
    </row>
    <row r="8" spans="1:13" ht="12.6" customHeight="1">
      <c r="A8" s="60">
        <v>6</v>
      </c>
      <c r="B8" s="61">
        <f t="shared" ref="B8:B36" si="5">B7-(B7*C8)</f>
        <v>10014.422199294761</v>
      </c>
      <c r="C8" s="65">
        <f t="shared" si="4"/>
        <v>3.0000000000000001E-3</v>
      </c>
      <c r="D8" s="63">
        <f t="shared" si="0"/>
        <v>0.98199999999999998</v>
      </c>
      <c r="E8" s="64">
        <f>(B8*$M$6)/2205</f>
        <v>5507.4737807014817</v>
      </c>
      <c r="F8" s="37">
        <v>1063.1717218709477</v>
      </c>
      <c r="G8" s="28">
        <f t="shared" si="2"/>
        <v>0.99271154584957022</v>
      </c>
      <c r="H8" s="88">
        <f>F8*$M$5/1000000</f>
        <v>6449.1996648691693</v>
      </c>
      <c r="I8" s="98">
        <v>0.51932272480374442</v>
      </c>
      <c r="J8" s="91">
        <f t="shared" si="1"/>
        <v>5200.7170238728622</v>
      </c>
      <c r="K8" s="25"/>
    </row>
    <row r="9" spans="1:13">
      <c r="A9" s="60">
        <v>7</v>
      </c>
      <c r="B9" s="61">
        <f t="shared" si="5"/>
        <v>9984.3789326968763</v>
      </c>
      <c r="C9" s="65">
        <f t="shared" si="4"/>
        <v>3.0000000000000001E-3</v>
      </c>
      <c r="D9" s="63">
        <f t="shared" si="0"/>
        <v>0.97899999999999998</v>
      </c>
      <c r="E9" s="64">
        <f>(B9*$M$6)/2205</f>
        <v>5490.9513593593774</v>
      </c>
      <c r="F9" s="37">
        <v>1067.6602362513377</v>
      </c>
      <c r="G9" s="28">
        <f t="shared" si="2"/>
        <v>0.99690259039812512</v>
      </c>
      <c r="H9" s="88">
        <f>F9*$M$5/1000000</f>
        <v>6476.4269931006147</v>
      </c>
      <c r="I9" s="98">
        <v>0.52154460626608301</v>
      </c>
      <c r="J9" s="91">
        <f t="shared" si="1"/>
        <v>5207.2989792647668</v>
      </c>
      <c r="K9" s="25"/>
    </row>
    <row r="10" spans="1:13">
      <c r="A10" s="60">
        <v>8</v>
      </c>
      <c r="B10" s="61">
        <f t="shared" si="5"/>
        <v>9954.4257958987855</v>
      </c>
      <c r="C10" s="65">
        <f t="shared" si="4"/>
        <v>3.0000000000000001E-3</v>
      </c>
      <c r="D10" s="63">
        <f t="shared" si="0"/>
        <v>0.97599999999999998</v>
      </c>
      <c r="E10" s="64">
        <f>(B10*$M$6)/2205</f>
        <v>5474.4785052812995</v>
      </c>
      <c r="F10" s="37">
        <v>1029.5641819952705</v>
      </c>
      <c r="G10" s="28">
        <f t="shared" si="2"/>
        <v>0.96133129731975242</v>
      </c>
      <c r="H10" s="88">
        <f>F10*$M$5/1000000</f>
        <v>6245.3363279833111</v>
      </c>
      <c r="I10" s="98">
        <v>0.50551198814536114</v>
      </c>
      <c r="J10" s="91">
        <f t="shared" si="1"/>
        <v>5032.0815749302637</v>
      </c>
      <c r="K10" s="25"/>
    </row>
    <row r="11" spans="1:13">
      <c r="A11" s="60">
        <v>9</v>
      </c>
      <c r="B11" s="61">
        <f t="shared" si="5"/>
        <v>9924.5625185110894</v>
      </c>
      <c r="C11" s="65">
        <f t="shared" si="4"/>
        <v>3.0000000000000001E-3</v>
      </c>
      <c r="D11" s="63">
        <f t="shared" si="0"/>
        <v>0.97299999999999998</v>
      </c>
      <c r="E11" s="64">
        <f>(B11*$M$6)/2205</f>
        <v>5458.0550697654553</v>
      </c>
      <c r="F11" s="37">
        <v>1049.0241537774034</v>
      </c>
      <c r="G11" s="28">
        <f t="shared" si="2"/>
        <v>0.97950158747385341</v>
      </c>
      <c r="H11" s="88">
        <f>F11*$M$5/1000000</f>
        <v>6363.3805168137296</v>
      </c>
      <c r="I11" s="98">
        <v>0.51508721909470567</v>
      </c>
      <c r="J11" s="91">
        <f t="shared" si="1"/>
        <v>5112.0153083914256</v>
      </c>
      <c r="K11" s="25"/>
    </row>
    <row r="12" spans="1:13">
      <c r="A12" s="60">
        <v>10</v>
      </c>
      <c r="B12" s="61">
        <f t="shared" si="5"/>
        <v>9894.7888309555565</v>
      </c>
      <c r="C12" s="65">
        <f t="shared" si="4"/>
        <v>3.0000000000000001E-3</v>
      </c>
      <c r="D12" s="63">
        <f t="shared" si="0"/>
        <v>0.97</v>
      </c>
      <c r="E12" s="64">
        <f>(B12*$M$6)/2205</f>
        <v>5441.6809045561595</v>
      </c>
      <c r="F12" s="37">
        <v>1001.5694550442254</v>
      </c>
      <c r="G12" s="28">
        <f t="shared" si="2"/>
        <v>0.93519188061451586</v>
      </c>
      <c r="H12" s="88">
        <f>F12*$M$5/1000000</f>
        <v>6075.5203142982709</v>
      </c>
      <c r="I12" s="98">
        <v>0.48942202204784346</v>
      </c>
      <c r="J12" s="91">
        <f t="shared" si="1"/>
        <v>4842.7275573826855</v>
      </c>
      <c r="K12" s="25"/>
    </row>
    <row r="13" spans="1:13">
      <c r="A13" s="60">
        <v>11</v>
      </c>
      <c r="B13" s="61">
        <f t="shared" si="5"/>
        <v>9865.1044644626891</v>
      </c>
      <c r="C13" s="65">
        <f t="shared" si="4"/>
        <v>3.0000000000000001E-3</v>
      </c>
      <c r="D13" s="63">
        <f t="shared" si="0"/>
        <v>0.96699999999999997</v>
      </c>
      <c r="E13" s="64">
        <f>(B13*$M$6)/2205</f>
        <v>5425.3558618424904</v>
      </c>
      <c r="F13" s="37">
        <v>941.43022170162885</v>
      </c>
      <c r="G13" s="28">
        <f t="shared" si="2"/>
        <v>0.87903828842465159</v>
      </c>
      <c r="H13" s="88">
        <f>F13*$M$5/1000000</f>
        <v>5710.7157248420808</v>
      </c>
      <c r="I13" s="98">
        <v>0.45746163468880718</v>
      </c>
      <c r="J13" s="91">
        <f t="shared" si="1"/>
        <v>4512.9068146889513</v>
      </c>
      <c r="K13" s="25"/>
    </row>
    <row r="14" spans="1:13">
      <c r="A14" s="60">
        <v>12</v>
      </c>
      <c r="B14" s="61">
        <f t="shared" si="5"/>
        <v>9835.5091510693019</v>
      </c>
      <c r="C14" s="65">
        <f t="shared" si="4"/>
        <v>3.0000000000000001E-3</v>
      </c>
      <c r="D14" s="63">
        <f t="shared" si="0"/>
        <v>0.96399999999999997</v>
      </c>
      <c r="E14" s="64">
        <f>(B14*$M$6)/2205</f>
        <v>5409.0797942569634</v>
      </c>
      <c r="F14" s="37">
        <v>929.84671818740867</v>
      </c>
      <c r="G14" s="28">
        <f t="shared" si="2"/>
        <v>0.86822246493781208</v>
      </c>
      <c r="H14" s="88">
        <f>F14*$M$5/1000000</f>
        <v>5640.4501925248214</v>
      </c>
      <c r="I14" s="98">
        <v>0.45207314486987199</v>
      </c>
      <c r="J14" s="91">
        <f t="shared" si="1"/>
        <v>4446.3695533203045</v>
      </c>
      <c r="K14" s="25"/>
    </row>
    <row r="15" spans="1:13">
      <c r="A15" s="60">
        <v>13</v>
      </c>
      <c r="B15" s="61">
        <f t="shared" si="5"/>
        <v>9806.0026236160938</v>
      </c>
      <c r="C15" s="65">
        <f t="shared" si="4"/>
        <v>3.0000000000000001E-3</v>
      </c>
      <c r="D15" s="63">
        <f t="shared" si="0"/>
        <v>0.96099999999999997</v>
      </c>
      <c r="E15" s="64">
        <f>(B15*$M$6)/2205</f>
        <v>5392.8525548741918</v>
      </c>
      <c r="F15" s="37">
        <v>907.05468104519673</v>
      </c>
      <c r="G15" s="28">
        <f t="shared" si="2"/>
        <v>0.84694093726071262</v>
      </c>
      <c r="H15" s="88">
        <f>F15*$M$5/1000000</f>
        <v>5502.1936952201631</v>
      </c>
      <c r="I15" s="98">
        <v>0.44121836409172482</v>
      </c>
      <c r="J15" s="91">
        <f t="shared" si="1"/>
        <v>4326.5884358710546</v>
      </c>
      <c r="K15" s="25"/>
    </row>
    <row r="16" spans="1:13">
      <c r="A16" s="60">
        <v>14</v>
      </c>
      <c r="B16" s="61">
        <f t="shared" si="5"/>
        <v>9776.5846157452452</v>
      </c>
      <c r="C16" s="65">
        <f t="shared" si="4"/>
        <v>3.0000000000000001E-3</v>
      </c>
      <c r="D16" s="63">
        <f t="shared" si="0"/>
        <v>0.95799999999999996</v>
      </c>
      <c r="E16" s="64">
        <f>(B16*$M$6)/2205</f>
        <v>5376.6739972095702</v>
      </c>
      <c r="F16" s="37">
        <v>895.02588627086311</v>
      </c>
      <c r="G16" s="28">
        <f t="shared" si="2"/>
        <v>0.83570933355127397</v>
      </c>
      <c r="H16" s="88">
        <f>F16*$M$5/1000000</f>
        <v>5429.2270261190561</v>
      </c>
      <c r="I16" s="98">
        <v>0.43625012766203281</v>
      </c>
      <c r="J16" s="91">
        <f t="shared" si="1"/>
        <v>4265.036286717529</v>
      </c>
      <c r="K16" s="25"/>
    </row>
    <row r="17" spans="1:11">
      <c r="A17" s="60">
        <v>15</v>
      </c>
      <c r="B17" s="61">
        <f t="shared" si="5"/>
        <v>9747.254861898009</v>
      </c>
      <c r="C17" s="65">
        <f t="shared" si="4"/>
        <v>3.0000000000000001E-3</v>
      </c>
      <c r="D17" s="63">
        <f t="shared" si="0"/>
        <v>0.95499999999999996</v>
      </c>
      <c r="E17" s="64">
        <f>(B17*$M$6)/2205</f>
        <v>5360.5439752179409</v>
      </c>
      <c r="F17" s="37">
        <v>870.46959090838993</v>
      </c>
      <c r="G17" s="28">
        <f t="shared" si="2"/>
        <v>0.81278047132879061</v>
      </c>
      <c r="H17" s="88">
        <f>F17*$M$5/1000000</f>
        <v>5280.2685384502938</v>
      </c>
      <c r="I17" s="98">
        <v>0.4230854369164998</v>
      </c>
      <c r="J17" s="91">
        <f t="shared" si="1"/>
        <v>4123.9215819825959</v>
      </c>
      <c r="K17" s="25"/>
    </row>
    <row r="18" spans="1:11">
      <c r="A18" s="60">
        <v>16</v>
      </c>
      <c r="B18" s="61">
        <f>B17-(B17*C18)</f>
        <v>9718.0130973123141</v>
      </c>
      <c r="C18" s="65">
        <f t="shared" si="4"/>
        <v>3.0000000000000001E-3</v>
      </c>
      <c r="D18" s="63">
        <f>D17-C18</f>
        <v>0.95199999999999996</v>
      </c>
      <c r="E18" s="64">
        <f>(B18*$M$6)/2205</f>
        <v>5344.4623432922863</v>
      </c>
      <c r="F18" s="37">
        <v>901.24096173861096</v>
      </c>
      <c r="G18" s="28">
        <f t="shared" si="2"/>
        <v>0.84151251383554859</v>
      </c>
      <c r="H18" s="88">
        <f>F18*$M$5/1000000</f>
        <v>5466.9276739064144</v>
      </c>
      <c r="I18" s="98">
        <v>0.43683879246867735</v>
      </c>
      <c r="J18" s="91">
        <f t="shared" si="1"/>
        <v>4245.2051066247022</v>
      </c>
      <c r="K18" s="25"/>
    </row>
    <row r="19" spans="1:11">
      <c r="A19" s="60">
        <v>17</v>
      </c>
      <c r="B19" s="61">
        <f>B18-(B18*C19)</f>
        <v>9688.8590580203763</v>
      </c>
      <c r="C19" s="65">
        <f t="shared" si="4"/>
        <v>3.0000000000000001E-3</v>
      </c>
      <c r="D19" s="63">
        <f>D18-C19</f>
        <v>0.94899999999999995</v>
      </c>
      <c r="E19" s="64">
        <f>(B19*$M$6)/2205</f>
        <v>5328.428956262409</v>
      </c>
      <c r="F19" s="37">
        <v>864.64227167487002</v>
      </c>
      <c r="G19" s="28">
        <f t="shared" si="2"/>
        <v>0.80733934929228046</v>
      </c>
      <c r="H19" s="88">
        <f>F19*$M$5/1000000</f>
        <v>5244.9200199797615</v>
      </c>
      <c r="I19" s="98">
        <v>0.41894132567130798</v>
      </c>
      <c r="J19" s="91">
        <f t="shared" si="1"/>
        <v>4059.0634580095166</v>
      </c>
      <c r="K19" s="25"/>
    </row>
    <row r="20" spans="1:11">
      <c r="A20" s="60">
        <v>18</v>
      </c>
      <c r="B20" s="61">
        <f t="shared" si="5"/>
        <v>9659.7924808463158</v>
      </c>
      <c r="C20" s="65">
        <f t="shared" si="4"/>
        <v>3.0000000000000001E-3</v>
      </c>
      <c r="D20" s="63">
        <f t="shared" si="0"/>
        <v>0.94599999999999995</v>
      </c>
      <c r="E20" s="64">
        <f>(B20*$M$6)/2205</f>
        <v>5312.4436693936223</v>
      </c>
      <c r="F20" s="37">
        <v>874.05010885036711</v>
      </c>
      <c r="G20" s="28">
        <f t="shared" si="2"/>
        <v>0.81612369559633158</v>
      </c>
      <c r="H20" s="88">
        <f>F20*$M$5/1000000</f>
        <v>5301.9879602863275</v>
      </c>
      <c r="I20" s="98">
        <v>0.42412824158523049</v>
      </c>
      <c r="J20" s="91">
        <f t="shared" si="1"/>
        <v>4096.9907989795793</v>
      </c>
      <c r="K20" s="25"/>
    </row>
    <row r="21" spans="1:11">
      <c r="A21" s="60">
        <v>19</v>
      </c>
      <c r="B21" s="61">
        <f t="shared" si="5"/>
        <v>9630.813103403776</v>
      </c>
      <c r="C21" s="65">
        <f t="shared" si="4"/>
        <v>3.0000000000000001E-3</v>
      </c>
      <c r="D21" s="63">
        <f t="shared" si="0"/>
        <v>0.94299999999999995</v>
      </c>
      <c r="E21" s="64">
        <f>(B21*$M$6)/2205</f>
        <v>5296.5063383854413</v>
      </c>
      <c r="F21" s="37">
        <v>873.13024453223397</v>
      </c>
      <c r="G21" s="28">
        <f t="shared" si="2"/>
        <v>0.8152647939622486</v>
      </c>
      <c r="H21" s="88">
        <f>F21*$M$5/1000000</f>
        <v>5296.4080633325311</v>
      </c>
      <c r="I21" s="98">
        <v>0.42493724409498468</v>
      </c>
      <c r="J21" s="91">
        <f t="shared" si="1"/>
        <v>4092.4911785542672</v>
      </c>
      <c r="K21" s="25"/>
    </row>
    <row r="22" spans="1:11">
      <c r="A22" s="60">
        <v>20</v>
      </c>
      <c r="B22" s="61">
        <f t="shared" si="5"/>
        <v>9601.9206640935645</v>
      </c>
      <c r="C22" s="65">
        <f t="shared" si="4"/>
        <v>3.0000000000000001E-3</v>
      </c>
      <c r="D22" s="63">
        <f t="shared" si="0"/>
        <v>0.94</v>
      </c>
      <c r="E22" s="64">
        <f>(B22*$M$6)/2205</f>
        <v>5280.6168193702842</v>
      </c>
      <c r="F22" s="37">
        <v>873.99913873655623</v>
      </c>
      <c r="G22" s="28">
        <f t="shared" si="2"/>
        <v>0.81607610345347037</v>
      </c>
      <c r="H22" s="88">
        <f>F22*$M$5/1000000</f>
        <v>5301.6787755759497</v>
      </c>
      <c r="I22" s="98">
        <v>0.42607683568406807</v>
      </c>
      <c r="J22" s="91">
        <f t="shared" si="1"/>
        <v>4091.1559730464514</v>
      </c>
      <c r="K22" s="25"/>
    </row>
    <row r="23" spans="1:11">
      <c r="A23" s="60">
        <v>21</v>
      </c>
      <c r="B23" s="61">
        <f t="shared" si="5"/>
        <v>9573.1149021012843</v>
      </c>
      <c r="C23" s="65">
        <f t="shared" si="4"/>
        <v>3.0000000000000001E-3</v>
      </c>
      <c r="D23" s="63">
        <f t="shared" si="0"/>
        <v>0.93699999999999994</v>
      </c>
      <c r="E23" s="64">
        <f>(B23*$M$6)/2205</f>
        <v>5264.7749689121738</v>
      </c>
      <c r="F23" s="37">
        <v>864.61333634398295</v>
      </c>
      <c r="G23" s="28">
        <f t="shared" si="2"/>
        <v>0.80731233160881155</v>
      </c>
      <c r="H23" s="88">
        <f>F23*$M$5/1000000</f>
        <v>5244.7444982626012</v>
      </c>
      <c r="I23" s="98">
        <f>$I$3*G23/$G$3</f>
        <v>0.42423702203179448</v>
      </c>
      <c r="J23" s="91">
        <f t="shared" si="1"/>
        <v>4061.2697576356427</v>
      </c>
      <c r="K23" s="25"/>
    </row>
    <row r="24" spans="1:11">
      <c r="A24" s="60">
        <v>22</v>
      </c>
      <c r="B24" s="61">
        <f t="shared" si="5"/>
        <v>9544.3955573949806</v>
      </c>
      <c r="C24" s="65">
        <f t="shared" si="4"/>
        <v>3.0000000000000001E-3</v>
      </c>
      <c r="D24" s="63">
        <f t="shared" si="0"/>
        <v>0.93399999999999994</v>
      </c>
      <c r="E24" s="64">
        <f>(B24*$M$6)/2205</f>
        <v>5248.9806440054372</v>
      </c>
      <c r="F24" s="37">
        <v>862.86482997203234</v>
      </c>
      <c r="G24" s="28">
        <f t="shared" si="2"/>
        <v>0.80567970498065755</v>
      </c>
      <c r="H24" s="88">
        <f>F24*$M$5/1000000</f>
        <v>5234.1380586103478</v>
      </c>
      <c r="I24" s="98">
        <f t="shared" ref="I24:I42" si="6">$I$3*G24/$G$3</f>
        <v>0.42337908808021268</v>
      </c>
      <c r="J24" s="91">
        <f t="shared" si="1"/>
        <v>4040.8974873667203</v>
      </c>
      <c r="K24" s="25"/>
    </row>
    <row r="25" spans="1:11">
      <c r="A25" s="60">
        <v>23</v>
      </c>
      <c r="B25" s="61">
        <f t="shared" si="5"/>
        <v>9515.7623707227958</v>
      </c>
      <c r="C25" s="65">
        <f t="shared" si="4"/>
        <v>3.0000000000000001E-3</v>
      </c>
      <c r="D25" s="63">
        <f t="shared" si="0"/>
        <v>0.93099999999999994</v>
      </c>
      <c r="E25" s="64">
        <f>(B25*$M$6)/2205</f>
        <v>5233.2337020734212</v>
      </c>
      <c r="F25" s="37">
        <v>861.35306328516981</v>
      </c>
      <c r="G25" s="28">
        <f t="shared" si="2"/>
        <v>0.80426812845561768</v>
      </c>
      <c r="H25" s="88">
        <f>F25*$M$5/1000000</f>
        <v>5224.9676818878406</v>
      </c>
      <c r="I25" s="98">
        <f t="shared" si="6"/>
        <v>0.42263731442222885</v>
      </c>
      <c r="J25" s="91">
        <f t="shared" si="1"/>
        <v>4021.7162530423839</v>
      </c>
      <c r="K25" s="25"/>
    </row>
    <row r="26" spans="1:11">
      <c r="A26" s="60">
        <v>24</v>
      </c>
      <c r="B26" s="61">
        <f t="shared" si="5"/>
        <v>9487.2150836106266</v>
      </c>
      <c r="C26" s="65">
        <f t="shared" si="4"/>
        <v>3.0000000000000001E-3</v>
      </c>
      <c r="D26" s="63">
        <f>D25-C26</f>
        <v>0.92799999999999994</v>
      </c>
      <c r="E26" s="64">
        <f>(B26*$M$6)/2205</f>
        <v>5217.5340009672009</v>
      </c>
      <c r="F26" s="37">
        <v>860.02178923358736</v>
      </c>
      <c r="G26" s="28">
        <f t="shared" si="2"/>
        <v>0.80302508267617378</v>
      </c>
      <c r="H26" s="88">
        <f>F26*$M$5/1000000</f>
        <v>5216.8921734909409</v>
      </c>
      <c r="I26" s="104">
        <f t="shared" si="6"/>
        <v>0.42198410250030816</v>
      </c>
      <c r="J26" s="91">
        <f t="shared" si="1"/>
        <v>4003.4539422848161</v>
      </c>
      <c r="K26" s="25"/>
    </row>
    <row r="27" spans="1:11">
      <c r="A27" s="60">
        <v>25</v>
      </c>
      <c r="B27" s="61">
        <f t="shared" si="5"/>
        <v>9458.753438359794</v>
      </c>
      <c r="C27" s="65">
        <f t="shared" si="4"/>
        <v>3.0000000000000001E-3</v>
      </c>
      <c r="D27" s="63">
        <f t="shared" si="0"/>
        <v>0.92499999999999993</v>
      </c>
      <c r="E27" s="64">
        <f>(B27*$M$6)/2205</f>
        <v>5201.8813989642995</v>
      </c>
      <c r="F27" s="37">
        <v>858.8326676034003</v>
      </c>
      <c r="G27" s="28">
        <f t="shared" si="2"/>
        <v>0.80191476837094677</v>
      </c>
      <c r="H27" s="88">
        <f>F27*$M$5/1000000</f>
        <v>5209.6789616822261</v>
      </c>
      <c r="I27" s="104">
        <f t="shared" si="6"/>
        <v>0.42140064004603084</v>
      </c>
      <c r="J27" s="91">
        <f t="shared" si="1"/>
        <v>3985.9247529624122</v>
      </c>
      <c r="K27" s="25"/>
    </row>
    <row r="28" spans="1:11">
      <c r="A28" s="60">
        <v>26</v>
      </c>
      <c r="B28" s="61">
        <f t="shared" si="5"/>
        <v>9430.377178044715</v>
      </c>
      <c r="C28" s="65">
        <f t="shared" si="4"/>
        <v>3.0000000000000001E-3</v>
      </c>
      <c r="D28" s="63">
        <f t="shared" si="0"/>
        <v>0.92199999999999993</v>
      </c>
      <c r="E28" s="64">
        <f>(B28*$M$6)/2205</f>
        <v>5186.2757547674064</v>
      </c>
      <c r="F28" s="37">
        <v>857.75839268823779</v>
      </c>
      <c r="G28" s="28">
        <f t="shared" si="2"/>
        <v>0.80091168947996405</v>
      </c>
      <c r="H28" s="88">
        <f>F28*$M$5/1000000</f>
        <v>5203.1624100468498</v>
      </c>
      <c r="I28" s="104">
        <f t="shared" si="6"/>
        <v>0.4208735290569971</v>
      </c>
      <c r="J28" s="91">
        <f t="shared" si="1"/>
        <v>3968.9961232622445</v>
      </c>
      <c r="K28" s="25"/>
    </row>
    <row r="29" spans="1:11">
      <c r="A29" s="60">
        <v>27</v>
      </c>
      <c r="B29" s="61">
        <f t="shared" si="5"/>
        <v>9402.0860465105816</v>
      </c>
      <c r="C29" s="65">
        <f t="shared" si="4"/>
        <v>3.0000000000000001E-3</v>
      </c>
      <c r="D29" s="63">
        <f t="shared" si="0"/>
        <v>0.91899999999999993</v>
      </c>
      <c r="E29" s="64">
        <f>(B29*$M$6)/2205</f>
        <v>5170.7169275031047</v>
      </c>
      <c r="F29" s="37">
        <v>856.77882992268121</v>
      </c>
      <c r="G29" s="28">
        <f t="shared" si="2"/>
        <v>0.7999970458271578</v>
      </c>
      <c r="H29" s="88">
        <f>F29*$M$5/1000000</f>
        <v>5197.2203823109849</v>
      </c>
      <c r="I29" s="104">
        <f t="shared" si="6"/>
        <v>0.42039289017128412</v>
      </c>
      <c r="J29" s="91">
        <f t="shared" si="1"/>
        <v>3952.5701267316858</v>
      </c>
      <c r="K29" s="25"/>
    </row>
    <row r="30" spans="1:11">
      <c r="A30" s="60">
        <v>28</v>
      </c>
      <c r="B30" s="61">
        <f t="shared" si="5"/>
        <v>9373.8797883710504</v>
      </c>
      <c r="C30" s="65">
        <f t="shared" si="4"/>
        <v>3.0000000000000001E-3</v>
      </c>
      <c r="D30" s="63">
        <f t="shared" si="0"/>
        <v>0.91599999999999993</v>
      </c>
      <c r="E30" s="64">
        <f>(B30*$M$6)/2205</f>
        <v>5155.204776720595</v>
      </c>
      <c r="F30" s="37">
        <v>855.87870742224197</v>
      </c>
      <c r="G30" s="28">
        <f t="shared" si="2"/>
        <v>0.79915657765020842</v>
      </c>
      <c r="H30" s="88">
        <f>F30*$M$5/1000000</f>
        <v>5191.7602392233202</v>
      </c>
      <c r="I30" s="104">
        <f t="shared" si="6"/>
        <v>0.41995122998285256</v>
      </c>
      <c r="J30" s="91">
        <f t="shared" si="1"/>
        <v>3936.5723468378242</v>
      </c>
      <c r="K30" s="25"/>
    </row>
    <row r="31" spans="1:11">
      <c r="A31" s="60">
        <v>29</v>
      </c>
      <c r="B31" s="61">
        <f>B30-(B30*C31)</f>
        <v>9345.7581490059365</v>
      </c>
      <c r="C31" s="65">
        <f t="shared" si="4"/>
        <v>3.0000000000000001E-3</v>
      </c>
      <c r="D31" s="63">
        <f t="shared" si="0"/>
        <v>0.91299999999999992</v>
      </c>
      <c r="E31" s="64">
        <f>(B31*$M$6)/2205</f>
        <v>5139.7391623904332</v>
      </c>
      <c r="F31" s="37">
        <v>855.04616726239101</v>
      </c>
      <c r="G31" s="28">
        <f t="shared" si="2"/>
        <v>0.79837921289147218</v>
      </c>
      <c r="H31" s="88">
        <f>F31*$M$5/1000000</f>
        <v>5186.710050613664</v>
      </c>
      <c r="I31" s="104">
        <f t="shared" si="6"/>
        <v>0.4195427302023258</v>
      </c>
      <c r="J31" s="91">
        <f t="shared" si="1"/>
        <v>3920.9448896445851</v>
      </c>
      <c r="K31" s="25"/>
    </row>
    <row r="32" spans="1:11">
      <c r="A32" s="60">
        <v>30</v>
      </c>
      <c r="B32" s="61">
        <f t="shared" si="5"/>
        <v>9317.7208745589178</v>
      </c>
      <c r="C32" s="65">
        <f t="shared" si="4"/>
        <v>3.0000000000000001E-3</v>
      </c>
      <c r="D32" s="63">
        <f t="shared" si="0"/>
        <v>0.90999999999999992</v>
      </c>
      <c r="E32" s="64">
        <f>(B32*$M$6)/2205</f>
        <v>5124.3199449032609</v>
      </c>
      <c r="F32" s="37">
        <v>854.27181885461505</v>
      </c>
      <c r="G32" s="28">
        <f t="shared" si="2"/>
        <v>0.79765618331017674</v>
      </c>
      <c r="H32" s="88">
        <f>F32*$M$5/1000000</f>
        <v>5182.0128531720957</v>
      </c>
      <c r="I32" s="104">
        <f t="shared" si="6"/>
        <v>0.41916278318008915</v>
      </c>
      <c r="J32" s="91">
        <f t="shared" si="1"/>
        <v>3905.6418146753304</v>
      </c>
      <c r="K32" s="25"/>
    </row>
    <row r="33" spans="1:11">
      <c r="A33" s="60">
        <v>31</v>
      </c>
      <c r="B33" s="61">
        <f t="shared" si="5"/>
        <v>9289.7677119352411</v>
      </c>
      <c r="C33" s="65">
        <f t="shared" si="4"/>
        <v>3.0000000000000001E-3</v>
      </c>
      <c r="D33" s="63">
        <f t="shared" si="0"/>
        <v>0.90699999999999992</v>
      </c>
      <c r="E33" s="64">
        <f>(B33*$M$6)/2205</f>
        <v>5108.9469850685518</v>
      </c>
      <c r="F33" s="37">
        <v>853.54809912182452</v>
      </c>
      <c r="G33" s="28">
        <f t="shared" si="2"/>
        <v>0.79698042706128402</v>
      </c>
      <c r="H33" s="88">
        <f>F33*$M$5/1000000</f>
        <v>5177.6227692729872</v>
      </c>
      <c r="I33" s="104">
        <f t="shared" si="6"/>
        <v>0.41880767796563229</v>
      </c>
      <c r="J33" s="91">
        <f t="shared" si="1"/>
        <v>3890.626044275703</v>
      </c>
      <c r="K33" s="25"/>
    </row>
    <row r="34" spans="1:11">
      <c r="A34" s="60">
        <v>32</v>
      </c>
      <c r="B34" s="61">
        <f t="shared" si="5"/>
        <v>9261.8984087994359</v>
      </c>
      <c r="C34" s="65">
        <f t="shared" si="4"/>
        <v>3.0000000000000001E-3</v>
      </c>
      <c r="D34" s="63">
        <f t="shared" si="0"/>
        <v>0.90399999999999991</v>
      </c>
      <c r="E34" s="64">
        <f>(B34*$M$6)/2205</f>
        <v>5093.6201441133462</v>
      </c>
      <c r="F34" s="37">
        <v>852.86882741424029</v>
      </c>
      <c r="G34" s="28">
        <f t="shared" si="2"/>
        <v>0.79634617310868538</v>
      </c>
      <c r="H34" s="88">
        <f>F34*$M$5/1000000</f>
        <v>5173.5023070947818</v>
      </c>
      <c r="I34" s="104">
        <f t="shared" si="6"/>
        <v>0.41847438191957026</v>
      </c>
      <c r="J34" s="91">
        <f t="shared" si="1"/>
        <v>3875.8672120241954</v>
      </c>
      <c r="K34" s="25"/>
    </row>
    <row r="35" spans="1:11">
      <c r="A35" s="60">
        <v>33</v>
      </c>
      <c r="B35" s="61">
        <f t="shared" si="5"/>
        <v>9234.1127135730367</v>
      </c>
      <c r="C35" s="65">
        <f t="shared" si="4"/>
        <v>3.0000000000000001E-3</v>
      </c>
      <c r="D35" s="63">
        <f t="shared" si="0"/>
        <v>0.90099999999999991</v>
      </c>
      <c r="E35" s="64">
        <f>(B35*$M$6)/2205</f>
        <v>5078.3392836810053</v>
      </c>
      <c r="F35" s="37">
        <v>852.22888812162842</v>
      </c>
      <c r="G35" s="28">
        <f t="shared" si="2"/>
        <v>0.79574864487185393</v>
      </c>
      <c r="H35" s="88">
        <f>F35*$M$5/1000000</f>
        <v>5169.6204353457979</v>
      </c>
      <c r="I35" s="104">
        <f t="shared" si="6"/>
        <v>0.41816038498201807</v>
      </c>
      <c r="J35" s="91">
        <f t="shared" si="1"/>
        <v>3861.3401272750484</v>
      </c>
      <c r="K35" s="25"/>
    </row>
    <row r="36" spans="1:11">
      <c r="A36" s="60">
        <v>34</v>
      </c>
      <c r="B36" s="61">
        <f t="shared" si="5"/>
        <v>9206.4103754323169</v>
      </c>
      <c r="C36" s="65">
        <f t="shared" si="4"/>
        <v>3.0000000000000001E-3</v>
      </c>
      <c r="D36" s="63">
        <f t="shared" si="0"/>
        <v>0.89799999999999991</v>
      </c>
      <c r="E36" s="64">
        <f>(B36*$M$6)/2205</f>
        <v>5063.1042658299621</v>
      </c>
      <c r="F36" s="37">
        <v>851.6239994060935</v>
      </c>
      <c r="G36" s="28">
        <f t="shared" si="2"/>
        <v>0.79518384428553945</v>
      </c>
      <c r="H36" s="88">
        <f>F36*$M$5/1000000</f>
        <v>5165.9511803973637</v>
      </c>
      <c r="I36" s="104">
        <f t="shared" si="6"/>
        <v>0.41786358619746045</v>
      </c>
      <c r="J36" s="91">
        <f t="shared" si="1"/>
        <v>3847.0236554836561</v>
      </c>
      <c r="K36" s="25"/>
    </row>
    <row r="37" spans="1:11">
      <c r="A37" s="60">
        <v>35</v>
      </c>
      <c r="B37" s="61">
        <f>B36-(B36*C37)</f>
        <v>9178.7911443060202</v>
      </c>
      <c r="C37" s="65">
        <f t="shared" si="4"/>
        <v>3.0000000000000001E-3</v>
      </c>
      <c r="D37" s="63">
        <f t="shared" si="0"/>
        <v>0.89499999999999991</v>
      </c>
      <c r="E37" s="64">
        <f>(B37*$M$6)/2205</f>
        <v>5047.9149530324721</v>
      </c>
      <c r="F37" s="37">
        <v>851.05054145945962</v>
      </c>
      <c r="G37" s="28">
        <f t="shared" si="2"/>
        <v>0.79464839143914434</v>
      </c>
      <c r="H37" s="88">
        <f>F37*$M$5/1000000</f>
        <v>5162.4725844930817</v>
      </c>
      <c r="I37" s="104">
        <f t="shared" si="6"/>
        <v>0.41758220944635793</v>
      </c>
      <c r="J37" s="91">
        <f t="shared" si="1"/>
        <v>3832.899886085972</v>
      </c>
      <c r="K37" s="25"/>
    </row>
    <row r="38" spans="1:11">
      <c r="A38" s="60">
        <v>36</v>
      </c>
      <c r="B38" s="61">
        <f t="shared" ref="B38:B42" si="7">B37-(B37*C38)</f>
        <v>9151.2547708731017</v>
      </c>
      <c r="C38" s="65">
        <f t="shared" si="4"/>
        <v>3.0000000000000001E-3</v>
      </c>
      <c r="D38" s="63">
        <f t="shared" si="0"/>
        <v>0.8919999999999999</v>
      </c>
      <c r="E38" s="64">
        <f>(B38*$M$6)/2205</f>
        <v>5032.7712081733744</v>
      </c>
      <c r="F38" s="37">
        <v>850.50542680244268</v>
      </c>
      <c r="G38" s="28">
        <f t="shared" si="2"/>
        <v>0.79413940347163114</v>
      </c>
      <c r="H38" s="88">
        <f>F38*$M$5/1000000</f>
        <v>5159.1659189836182</v>
      </c>
      <c r="I38" s="104">
        <f t="shared" si="6"/>
        <v>0.4173147398052619</v>
      </c>
      <c r="J38" s="91">
        <f t="shared" si="1"/>
        <v>3818.95350359857</v>
      </c>
      <c r="K38" s="25"/>
    </row>
    <row r="39" spans="1:11">
      <c r="A39" s="60">
        <v>37</v>
      </c>
      <c r="B39" s="61">
        <f t="shared" si="7"/>
        <v>9123.8010065604831</v>
      </c>
      <c r="C39" s="65">
        <f t="shared" si="4"/>
        <v>3.0000000000000001E-3</v>
      </c>
      <c r="D39" s="63">
        <f t="shared" si="0"/>
        <v>0.8889999999999999</v>
      </c>
      <c r="E39" s="64">
        <f>(B39*$M$6)/2205</f>
        <v>5017.6728945488558</v>
      </c>
      <c r="F39" s="37">
        <v>849.98600085368992</v>
      </c>
      <c r="G39" s="28">
        <f t="shared" si="2"/>
        <v>0.79365440173020663</v>
      </c>
      <c r="H39" s="88">
        <f>F39*$M$5/1000000</f>
        <v>5156.0150811784833</v>
      </c>
      <c r="I39" s="104">
        <f t="shared" si="6"/>
        <v>0.41705987475934819</v>
      </c>
      <c r="J39" s="91">
        <f t="shared" si="1"/>
        <v>3805.17130512533</v>
      </c>
      <c r="K39" s="25"/>
    </row>
    <row r="40" spans="1:11">
      <c r="A40" s="60">
        <v>38</v>
      </c>
      <c r="B40" s="61">
        <f t="shared" si="7"/>
        <v>9096.4296035408024</v>
      </c>
      <c r="C40" s="65">
        <f t="shared" si="4"/>
        <v>3.0000000000000001E-3</v>
      </c>
      <c r="D40" s="63">
        <f t="shared" si="0"/>
        <v>0.8859999999999999</v>
      </c>
      <c r="E40" s="64">
        <f>(B40*$M$6)/2205</f>
        <v>5002.619875865209</v>
      </c>
      <c r="F40" s="37">
        <v>849.48996467067764</v>
      </c>
      <c r="G40" s="28">
        <f t="shared" si="2"/>
        <v>0.79319123963145466</v>
      </c>
      <c r="H40" s="88">
        <f>F40*$M$5/1000000</f>
        <v>5153.00612569233</v>
      </c>
      <c r="I40" s="104">
        <f t="shared" si="6"/>
        <v>0.41681648629394352</v>
      </c>
      <c r="J40" s="91">
        <f t="shared" si="1"/>
        <v>3791.5418251680871</v>
      </c>
      <c r="K40" s="25"/>
    </row>
    <row r="41" spans="1:11">
      <c r="A41" s="60">
        <v>39</v>
      </c>
      <c r="B41" s="61">
        <f t="shared" si="7"/>
        <v>9069.1403147301808</v>
      </c>
      <c r="C41" s="65">
        <f t="shared" si="4"/>
        <v>3.0000000000000001E-3</v>
      </c>
      <c r="D41" s="63">
        <f t="shared" si="0"/>
        <v>0.8829999999999999</v>
      </c>
      <c r="E41" s="64">
        <f>(B41*$M$6)/2205</f>
        <v>4987.6120162376137</v>
      </c>
      <c r="F41" s="37">
        <v>849.01531418390277</v>
      </c>
      <c r="G41" s="28">
        <f t="shared" si="2"/>
        <v>0.79274804592269488</v>
      </c>
      <c r="H41" s="88">
        <f>F41*$M$5/1000000</f>
        <v>5150.126895839554</v>
      </c>
      <c r="I41" s="104">
        <f t="shared" si="6"/>
        <v>0.41658359107876358</v>
      </c>
      <c r="J41" s="91">
        <f t="shared" si="1"/>
        <v>3778.0550403074867</v>
      </c>
      <c r="K41" s="25"/>
    </row>
    <row r="42" spans="1:11">
      <c r="A42" s="66">
        <v>40</v>
      </c>
      <c r="B42" s="67">
        <f t="shared" si="7"/>
        <v>9041.93289378599</v>
      </c>
      <c r="C42" s="68">
        <f t="shared" si="4"/>
        <v>3.0000000000000001E-3</v>
      </c>
      <c r="D42" s="69">
        <f t="shared" si="0"/>
        <v>0.87999999999999989</v>
      </c>
      <c r="E42" s="70">
        <f>(B42*$M$6)/2205</f>
        <v>4972.6491801889006</v>
      </c>
      <c r="F42" s="39">
        <v>848.56029187297645</v>
      </c>
      <c r="G42" s="40">
        <f t="shared" si="2"/>
        <v>0.79232317956067311</v>
      </c>
      <c r="H42" s="94">
        <f>F42*$M$5/1000000</f>
        <v>5147.3667305014751</v>
      </c>
      <c r="I42" s="105">
        <f t="shared" si="6"/>
        <v>0.41636032675697821</v>
      </c>
      <c r="J42" s="92">
        <f t="shared" si="1"/>
        <v>3764.7021341714044</v>
      </c>
      <c r="K42" s="25"/>
    </row>
    <row r="43" spans="1:11">
      <c r="A43" s="71" t="s">
        <v>19</v>
      </c>
      <c r="B43" s="72">
        <f>SUM(B3:B42)</f>
        <v>383730.96829845553</v>
      </c>
      <c r="C43" s="73"/>
      <c r="D43" s="74">
        <f>AVERAGE(D3:D42)</f>
        <v>0.93850000000000089</v>
      </c>
      <c r="E43" s="75">
        <f>SUM(E3:E42)</f>
        <v>211034.46656121258</v>
      </c>
      <c r="F43" s="29"/>
      <c r="G43" s="30">
        <f>AVERAGE(G3:G42)</f>
        <v>0.85599747242065494</v>
      </c>
      <c r="H43" s="49">
        <f>SUM(H3:H42)</f>
        <v>222441.19695574432</v>
      </c>
      <c r="I43" s="49"/>
      <c r="J43" s="49">
        <f>SUM(J3:J42)</f>
        <v>172660.57584039509</v>
      </c>
      <c r="K43" s="26"/>
    </row>
    <row r="44" spans="1:11">
      <c r="C44" s="27"/>
      <c r="H44" s="50">
        <f>H43/E43</f>
        <v>1.0540515043841101</v>
      </c>
      <c r="I44" s="50"/>
      <c r="J44" s="50">
        <f>J43/E43</f>
        <v>0.81816292217040876</v>
      </c>
    </row>
    <row r="45" spans="1:11">
      <c r="C45" s="27"/>
    </row>
  </sheetData>
  <mergeCells count="4">
    <mergeCell ref="A1:E1"/>
    <mergeCell ref="F1:H1"/>
    <mergeCell ref="L2:M2"/>
    <mergeCell ref="I1:J1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44D0-33E4-4F61-ABD1-ADA14B6DB382}">
  <sheetPr>
    <tabColor rgb="FFFBEF97"/>
  </sheetPr>
  <dimension ref="A1:M45"/>
  <sheetViews>
    <sheetView showGridLines="0" zoomScale="140" zoomScaleNormal="140" workbookViewId="0">
      <selection activeCell="L9" sqref="L9"/>
    </sheetView>
  </sheetViews>
  <sheetFormatPr defaultColWidth="8.85546875" defaultRowHeight="15" customHeight="1"/>
  <cols>
    <col min="1" max="1" width="8.85546875" style="22"/>
    <col min="2" max="2" width="31.85546875" style="23" customWidth="1"/>
    <col min="3" max="3" width="19.42578125" style="23" bestFit="1" customWidth="1"/>
    <col min="4" max="4" width="25.7109375" style="23" customWidth="1"/>
    <col min="5" max="5" width="35.42578125" style="23" bestFit="1" customWidth="1"/>
    <col min="6" max="6" width="24" style="23" customWidth="1"/>
    <col min="7" max="7" width="25.28515625" style="23" bestFit="1" customWidth="1"/>
    <col min="8" max="8" width="22.85546875" style="23" bestFit="1" customWidth="1"/>
    <col min="9" max="10" width="22.85546875" style="23" customWidth="1"/>
    <col min="11" max="11" width="11.7109375" style="23" customWidth="1"/>
    <col min="12" max="12" width="47.7109375" style="23" customWidth="1"/>
    <col min="13" max="13" width="39.42578125" style="23" customWidth="1"/>
    <col min="14" max="14" width="14.42578125" style="23" bestFit="1" customWidth="1"/>
    <col min="15" max="16384" width="8.85546875" style="23"/>
  </cols>
  <sheetData>
    <row r="1" spans="1:13" ht="15.75" customHeight="1">
      <c r="A1" s="80" t="s">
        <v>0</v>
      </c>
      <c r="B1" s="81"/>
      <c r="C1" s="81"/>
      <c r="D1" s="81"/>
      <c r="E1" s="82"/>
      <c r="F1" s="83" t="s">
        <v>20</v>
      </c>
      <c r="G1" s="84"/>
      <c r="H1" s="85"/>
      <c r="I1" s="83" t="s">
        <v>2</v>
      </c>
      <c r="J1" s="85"/>
    </row>
    <row r="2" spans="1:13" ht="12.95" customHeight="1">
      <c r="A2" s="52" t="s">
        <v>3</v>
      </c>
      <c r="B2" s="53" t="s">
        <v>4</v>
      </c>
      <c r="C2" s="53" t="s">
        <v>5</v>
      </c>
      <c r="D2" s="53" t="s">
        <v>6</v>
      </c>
      <c r="E2" s="54" t="s">
        <v>7</v>
      </c>
      <c r="F2" s="31" t="s">
        <v>21</v>
      </c>
      <c r="G2" s="32" t="s">
        <v>9</v>
      </c>
      <c r="H2" s="33" t="s">
        <v>10</v>
      </c>
      <c r="I2" s="31" t="s">
        <v>21</v>
      </c>
      <c r="J2" s="33" t="s">
        <v>10</v>
      </c>
      <c r="K2" s="24"/>
      <c r="L2" s="86" t="s">
        <v>11</v>
      </c>
      <c r="M2" s="87"/>
    </row>
    <row r="3" spans="1:13" ht="12.95" customHeight="1">
      <c r="A3" s="55">
        <v>1</v>
      </c>
      <c r="B3" s="56">
        <v>2395</v>
      </c>
      <c r="C3" s="57"/>
      <c r="D3" s="58">
        <f>1-C4</f>
        <v>0.997</v>
      </c>
      <c r="E3" s="59">
        <f>(B3*$M$6)/2205</f>
        <v>1251.1883250657595</v>
      </c>
      <c r="F3" s="34">
        <v>1080.6284918505053</v>
      </c>
      <c r="G3" s="35">
        <v>1</v>
      </c>
      <c r="H3" s="36">
        <f>F3*$M$5/1000000</f>
        <v>1534.4924584277173</v>
      </c>
      <c r="I3" s="101">
        <v>0.56318445570761066</v>
      </c>
      <c r="J3" s="36">
        <f>I3*B3</f>
        <v>1348.8267714197275</v>
      </c>
      <c r="K3" s="25"/>
      <c r="L3" s="46" t="s">
        <v>12</v>
      </c>
      <c r="M3" s="44" t="s">
        <v>22</v>
      </c>
    </row>
    <row r="4" spans="1:13" ht="12.75">
      <c r="A4" s="60">
        <v>2</v>
      </c>
      <c r="B4" s="61">
        <f>B3-(B3*C4)</f>
        <v>2387.8150000000001</v>
      </c>
      <c r="C4" s="62">
        <v>3.0000000000000001E-3</v>
      </c>
      <c r="D4" s="63">
        <f t="shared" ref="D4:D42" si="0">D3-C4</f>
        <v>0.99399999999999999</v>
      </c>
      <c r="E4" s="64">
        <f>(B4*$M$6)/2205</f>
        <v>1247.4347600905623</v>
      </c>
      <c r="F4" s="37">
        <v>1084.533764622455</v>
      </c>
      <c r="G4" s="28">
        <f>F4*$G$3/$F$3</f>
        <v>1.0036138902512761</v>
      </c>
      <c r="H4" s="38">
        <f>F4*$M$5/1000000</f>
        <v>1540.0379457638862</v>
      </c>
      <c r="I4" s="101">
        <v>0.56535422862589668</v>
      </c>
      <c r="J4" s="38">
        <f t="shared" ref="J4:J42" si="1">I4*B4</f>
        <v>1349.9613074263455</v>
      </c>
      <c r="K4" s="25"/>
      <c r="L4" s="47" t="s">
        <v>14</v>
      </c>
      <c r="M4" s="45" t="s">
        <v>23</v>
      </c>
    </row>
    <row r="5" spans="1:13" ht="12.75">
      <c r="A5" s="60">
        <v>3</v>
      </c>
      <c r="B5" s="61">
        <f>B4-(B4*C5)</f>
        <v>2380.6515549999999</v>
      </c>
      <c r="C5" s="65">
        <f>$C$4</f>
        <v>3.0000000000000001E-3</v>
      </c>
      <c r="D5" s="63">
        <f>D4-C5</f>
        <v>0.99099999999999999</v>
      </c>
      <c r="E5" s="64">
        <f>(B5*$M$6)/2205</f>
        <v>1243.6924558102908</v>
      </c>
      <c r="F5" s="37">
        <v>1067.1511096843069</v>
      </c>
      <c r="G5" s="28">
        <f t="shared" ref="G5:G42" si="2">F5*$G$3/$F$3</f>
        <v>0.9875282002391782</v>
      </c>
      <c r="H5" s="38">
        <f>F5*$M$5/1000000</f>
        <v>1515.3545757517159</v>
      </c>
      <c r="I5" s="101">
        <v>0.55913363490316437</v>
      </c>
      <c r="J5" s="38">
        <f t="shared" si="1"/>
        <v>1331.1023573850205</v>
      </c>
      <c r="K5" s="25"/>
      <c r="L5" s="47" t="s">
        <v>16</v>
      </c>
      <c r="M5" s="42">
        <v>1420000</v>
      </c>
    </row>
    <row r="6" spans="1:13" ht="12.75">
      <c r="A6" s="60">
        <v>4</v>
      </c>
      <c r="B6" s="61">
        <f t="shared" ref="B6" si="3">B5-(B5*C6)</f>
        <v>2373.509600335</v>
      </c>
      <c r="C6" s="65">
        <f t="shared" ref="C6:C42" si="4">$C$4</f>
        <v>3.0000000000000001E-3</v>
      </c>
      <c r="D6" s="63">
        <f t="shared" si="0"/>
        <v>0.98799999999999999</v>
      </c>
      <c r="E6" s="64">
        <f>(B6*$M$6)/2205</f>
        <v>1239.9613784428598</v>
      </c>
      <c r="F6" s="37">
        <v>1062.9035573094868</v>
      </c>
      <c r="G6" s="28">
        <f t="shared" si="2"/>
        <v>0.98359756875310067</v>
      </c>
      <c r="H6" s="38">
        <f>F6*$M$5/1000000</f>
        <v>1509.3230513794713</v>
      </c>
      <c r="I6" s="101">
        <v>0.53458092662603074</v>
      </c>
      <c r="J6" s="38">
        <f t="shared" si="1"/>
        <v>1268.8329615028642</v>
      </c>
      <c r="K6" s="25"/>
      <c r="L6" s="47" t="s">
        <v>17</v>
      </c>
      <c r="M6" s="42">
        <v>1151.929126</v>
      </c>
    </row>
    <row r="7" spans="1:13" ht="12.75">
      <c r="A7" s="60">
        <v>5</v>
      </c>
      <c r="B7" s="61">
        <f>B6-(B6*C7)</f>
        <v>2366.3890715339949</v>
      </c>
      <c r="C7" s="65">
        <f t="shared" si="4"/>
        <v>3.0000000000000001E-3</v>
      </c>
      <c r="D7" s="63">
        <f>D6-C7</f>
        <v>0.98499999999999999</v>
      </c>
      <c r="E7" s="64">
        <f>(B7*$M$6)/2205</f>
        <v>1236.2414943075312</v>
      </c>
      <c r="F7" s="37">
        <v>1074.165707989265</v>
      </c>
      <c r="G7" s="28">
        <f t="shared" si="2"/>
        <v>0.99401942118870734</v>
      </c>
      <c r="H7" s="38">
        <f>F7*$M$5/1000000</f>
        <v>1525.3153053447563</v>
      </c>
      <c r="I7" s="101">
        <v>0.53995420130403404</v>
      </c>
      <c r="J7" s="38">
        <f t="shared" si="1"/>
        <v>1277.7417210947328</v>
      </c>
      <c r="K7" s="25"/>
      <c r="L7" s="48" t="s">
        <v>24</v>
      </c>
      <c r="M7" s="43">
        <v>1686.6197183098591</v>
      </c>
    </row>
    <row r="8" spans="1:13" ht="12.6" customHeight="1">
      <c r="A8" s="60">
        <v>6</v>
      </c>
      <c r="B8" s="61">
        <f t="shared" ref="B8:B36" si="5">B7-(B7*C8)</f>
        <v>2359.2899043193929</v>
      </c>
      <c r="C8" s="65">
        <f t="shared" si="4"/>
        <v>3.0000000000000001E-3</v>
      </c>
      <c r="D8" s="63">
        <f t="shared" si="0"/>
        <v>0.98199999999999998</v>
      </c>
      <c r="E8" s="64">
        <f>(B8*$M$6)/2205</f>
        <v>1232.5327698246085</v>
      </c>
      <c r="F8" s="37">
        <v>1021.8645079544691</v>
      </c>
      <c r="G8" s="28">
        <f t="shared" si="2"/>
        <v>0.94562054920890837</v>
      </c>
      <c r="H8" s="38">
        <f>F8*$M$5/1000000</f>
        <v>1451.0476012953461</v>
      </c>
      <c r="I8" s="101">
        <v>0.5135759231942465</v>
      </c>
      <c r="J8" s="38">
        <f t="shared" si="1"/>
        <v>1211.6744906936976</v>
      </c>
      <c r="K8" s="25"/>
    </row>
    <row r="9" spans="1:13" ht="12.75">
      <c r="A9" s="60">
        <v>7</v>
      </c>
      <c r="B9" s="61">
        <f t="shared" si="5"/>
        <v>2352.2120346064348</v>
      </c>
      <c r="C9" s="65">
        <f t="shared" si="4"/>
        <v>3.0000000000000001E-3</v>
      </c>
      <c r="D9" s="63">
        <f t="shared" si="0"/>
        <v>0.97899999999999998</v>
      </c>
      <c r="E9" s="64">
        <f>(B9*$M$6)/2205</f>
        <v>1228.8351715151348</v>
      </c>
      <c r="F9" s="37">
        <v>1035.074180265809</v>
      </c>
      <c r="G9" s="28">
        <f t="shared" si="2"/>
        <v>0.95784461364081974</v>
      </c>
      <c r="H9" s="38">
        <f>F9*$M$5/1000000</f>
        <v>1469.8053359774487</v>
      </c>
      <c r="I9" s="101">
        <v>0.52012795912253573</v>
      </c>
      <c r="J9" s="38">
        <f t="shared" si="1"/>
        <v>1223.4512449833123</v>
      </c>
      <c r="K9" s="25"/>
    </row>
    <row r="10" spans="1:13" ht="12.75">
      <c r="A10" s="60">
        <v>8</v>
      </c>
      <c r="B10" s="61">
        <f t="shared" si="5"/>
        <v>2345.1553985026153</v>
      </c>
      <c r="C10" s="65">
        <f t="shared" si="4"/>
        <v>3.0000000000000001E-3</v>
      </c>
      <c r="D10" s="63">
        <f t="shared" si="0"/>
        <v>0.97599999999999998</v>
      </c>
      <c r="E10" s="64">
        <f>(B10*$M$6)/2205</f>
        <v>1225.1486660005892</v>
      </c>
      <c r="F10" s="37">
        <v>995.06279588251073</v>
      </c>
      <c r="G10" s="28">
        <f t="shared" si="2"/>
        <v>0.92081858232197</v>
      </c>
      <c r="H10" s="38">
        <f>F10*$M$5/1000000</f>
        <v>1412.9891701531653</v>
      </c>
      <c r="I10" s="101">
        <v>0.50183776892537024</v>
      </c>
      <c r="J10" s="38">
        <f t="shared" si="1"/>
        <v>1176.8875529678401</v>
      </c>
      <c r="K10" s="25"/>
    </row>
    <row r="11" spans="1:13" ht="12.75">
      <c r="A11" s="60">
        <v>9</v>
      </c>
      <c r="B11" s="61">
        <f t="shared" si="5"/>
        <v>2338.1199323071073</v>
      </c>
      <c r="C11" s="65">
        <f t="shared" si="4"/>
        <v>3.0000000000000001E-3</v>
      </c>
      <c r="D11" s="63">
        <f t="shared" si="0"/>
        <v>0.97299999999999998</v>
      </c>
      <c r="E11" s="64">
        <f>(B11*$M$6)/2205</f>
        <v>1221.4732200025874</v>
      </c>
      <c r="F11" s="37">
        <v>993.68419335380645</v>
      </c>
      <c r="G11" s="28">
        <f t="shared" si="2"/>
        <v>0.91954284090010208</v>
      </c>
      <c r="H11" s="38">
        <f>F11*$M$5/1000000</f>
        <v>1411.0315545624051</v>
      </c>
      <c r="I11" s="101">
        <v>0.50128214124326886</v>
      </c>
      <c r="J11" s="38">
        <f t="shared" si="1"/>
        <v>1172.0577661504735</v>
      </c>
      <c r="K11" s="25"/>
    </row>
    <row r="12" spans="1:13" ht="12.75">
      <c r="A12" s="60">
        <v>10</v>
      </c>
      <c r="B12" s="61">
        <f t="shared" si="5"/>
        <v>2331.105572510186</v>
      </c>
      <c r="C12" s="65">
        <f t="shared" si="4"/>
        <v>3.0000000000000001E-3</v>
      </c>
      <c r="D12" s="63">
        <f t="shared" si="0"/>
        <v>0.97</v>
      </c>
      <c r="E12" s="64">
        <f>(B12*$M$6)/2205</f>
        <v>1217.8088003425798</v>
      </c>
      <c r="F12" s="37">
        <v>961.12314310692591</v>
      </c>
      <c r="G12" s="28">
        <f t="shared" si="2"/>
        <v>0.88941125498279772</v>
      </c>
      <c r="H12" s="38">
        <f>F12*$M$5/1000000</f>
        <v>1364.7948632118348</v>
      </c>
      <c r="I12" s="101">
        <v>0.48336648173615043</v>
      </c>
      <c r="J12" s="38">
        <f t="shared" si="1"/>
        <v>1126.7782991397833</v>
      </c>
      <c r="K12" s="25"/>
    </row>
    <row r="13" spans="1:13" ht="12.75">
      <c r="A13" s="60">
        <v>11</v>
      </c>
      <c r="B13" s="61">
        <f t="shared" si="5"/>
        <v>2324.1122557926556</v>
      </c>
      <c r="C13" s="65">
        <f t="shared" si="4"/>
        <v>3.0000000000000001E-3</v>
      </c>
      <c r="D13" s="63">
        <f t="shared" si="0"/>
        <v>0.96699999999999997</v>
      </c>
      <c r="E13" s="64">
        <f>(B13*$M$6)/2205</f>
        <v>1214.1553739415519</v>
      </c>
      <c r="F13" s="37">
        <v>917.32193949809016</v>
      </c>
      <c r="G13" s="28">
        <f t="shared" si="2"/>
        <v>0.84887817267082843</v>
      </c>
      <c r="H13" s="38">
        <f>F13*$M$5/1000000</f>
        <v>1302.5971540872881</v>
      </c>
      <c r="I13" s="101">
        <v>0.46042628280159836</v>
      </c>
      <c r="J13" s="38">
        <f t="shared" si="1"/>
        <v>1070.08236674825</v>
      </c>
      <c r="K13" s="25"/>
    </row>
    <row r="14" spans="1:13" ht="12.75">
      <c r="A14" s="60">
        <v>12</v>
      </c>
      <c r="B14" s="61">
        <f t="shared" si="5"/>
        <v>2317.1399190252778</v>
      </c>
      <c r="C14" s="65">
        <f t="shared" si="4"/>
        <v>3.0000000000000001E-3</v>
      </c>
      <c r="D14" s="63">
        <f t="shared" si="0"/>
        <v>0.96399999999999997</v>
      </c>
      <c r="E14" s="64">
        <f>(B14*$M$6)/2205</f>
        <v>1210.5129078197274</v>
      </c>
      <c r="F14" s="37">
        <v>913.06720443530469</v>
      </c>
      <c r="G14" s="28">
        <f t="shared" si="2"/>
        <v>0.84494089441574605</v>
      </c>
      <c r="H14" s="38">
        <f>F14*$M$5/1000000</f>
        <v>1296.5554302981327</v>
      </c>
      <c r="I14" s="101">
        <v>0.45916931442460962</v>
      </c>
      <c r="J14" s="38">
        <f t="shared" si="1"/>
        <v>1063.9595480447322</v>
      </c>
      <c r="K14" s="25"/>
    </row>
    <row r="15" spans="1:13" ht="12.75">
      <c r="A15" s="60">
        <v>13</v>
      </c>
      <c r="B15" s="61">
        <f t="shared" si="5"/>
        <v>2310.1884992682021</v>
      </c>
      <c r="C15" s="65">
        <f t="shared" si="4"/>
        <v>3.0000000000000001E-3</v>
      </c>
      <c r="D15" s="63">
        <f t="shared" si="0"/>
        <v>0.96099999999999997</v>
      </c>
      <c r="E15" s="64">
        <f>(B15*$M$6)/2205</f>
        <v>1206.8813690962684</v>
      </c>
      <c r="F15" s="37">
        <v>896.72781223419463</v>
      </c>
      <c r="G15" s="28">
        <f t="shared" si="2"/>
        <v>0.82982062660462264</v>
      </c>
      <c r="H15" s="38">
        <f>F15*$M$5/1000000</f>
        <v>1273.3534933725564</v>
      </c>
      <c r="I15" s="101">
        <v>0.45151598205213611</v>
      </c>
      <c r="J15" s="38">
        <f t="shared" si="1"/>
        <v>1043.0870289726329</v>
      </c>
      <c r="K15" s="25"/>
    </row>
    <row r="16" spans="1:13" ht="12.75">
      <c r="A16" s="60">
        <v>14</v>
      </c>
      <c r="B16" s="61">
        <f t="shared" si="5"/>
        <v>2303.2579337703974</v>
      </c>
      <c r="C16" s="65">
        <f t="shared" si="4"/>
        <v>3.0000000000000001E-3</v>
      </c>
      <c r="D16" s="63">
        <f t="shared" si="0"/>
        <v>0.95799999999999996</v>
      </c>
      <c r="E16" s="64">
        <f>(B16*$M$6)/2205</f>
        <v>1203.2607249889795</v>
      </c>
      <c r="F16" s="37">
        <v>875.63733947195362</v>
      </c>
      <c r="G16" s="28">
        <f t="shared" si="2"/>
        <v>0.81030376866380993</v>
      </c>
      <c r="H16" s="38">
        <f>F16*$M$5/1000000</f>
        <v>1243.4050220501742</v>
      </c>
      <c r="I16" s="101">
        <v>0.44160637291930765</v>
      </c>
      <c r="J16" s="38">
        <f t="shared" si="1"/>
        <v>1017.1333820299641</v>
      </c>
      <c r="K16" s="25"/>
    </row>
    <row r="17" spans="1:11" ht="12.75">
      <c r="A17" s="60">
        <v>15</v>
      </c>
      <c r="B17" s="61">
        <f t="shared" si="5"/>
        <v>2296.3481599690863</v>
      </c>
      <c r="C17" s="65">
        <f t="shared" si="4"/>
        <v>3.0000000000000001E-3</v>
      </c>
      <c r="D17" s="63">
        <f t="shared" si="0"/>
        <v>0.95499999999999996</v>
      </c>
      <c r="E17" s="64">
        <f>(B17*$M$6)/2205</f>
        <v>1199.6509428140128</v>
      </c>
      <c r="F17" s="37">
        <v>860.94864868682555</v>
      </c>
      <c r="G17" s="28">
        <f t="shared" si="2"/>
        <v>0.79671103915880248</v>
      </c>
      <c r="H17" s="38">
        <f>F17*$M$5/1000000</f>
        <v>1222.5470811352923</v>
      </c>
      <c r="I17" s="101">
        <v>0.43330758060652358</v>
      </c>
      <c r="J17" s="38">
        <f t="shared" si="1"/>
        <v>995.02506542644699</v>
      </c>
      <c r="K17" s="25"/>
    </row>
    <row r="18" spans="1:11" ht="12.75">
      <c r="A18" s="60">
        <v>16</v>
      </c>
      <c r="B18" s="61">
        <f>B17-(B17*C18)</f>
        <v>2289.4591154891791</v>
      </c>
      <c r="C18" s="65">
        <f t="shared" si="4"/>
        <v>3.0000000000000001E-3</v>
      </c>
      <c r="D18" s="63">
        <f>D17-C18</f>
        <v>0.95199999999999996</v>
      </c>
      <c r="E18" s="64">
        <f>(B18*$M$6)/2205</f>
        <v>1196.0519899855706</v>
      </c>
      <c r="F18" s="37">
        <v>896.98909388040124</v>
      </c>
      <c r="G18" s="28">
        <f t="shared" si="2"/>
        <v>0.83006241335018516</v>
      </c>
      <c r="H18" s="38">
        <f>F18*$M$5/1000000</f>
        <v>1273.7245133101696</v>
      </c>
      <c r="I18" s="101">
        <v>0.45087039310660948</v>
      </c>
      <c r="J18" s="38">
        <f t="shared" si="1"/>
        <v>1032.2493314021167</v>
      </c>
      <c r="K18" s="25"/>
    </row>
    <row r="19" spans="1:11" ht="12.75">
      <c r="A19" s="60">
        <v>17</v>
      </c>
      <c r="B19" s="61">
        <f>B18-(B18*C19)</f>
        <v>2282.5907381427114</v>
      </c>
      <c r="C19" s="65">
        <f t="shared" si="4"/>
        <v>3.0000000000000001E-3</v>
      </c>
      <c r="D19" s="63">
        <f>D18-C19</f>
        <v>0.94899999999999995</v>
      </c>
      <c r="E19" s="64">
        <f>(B19*$M$6)/2205</f>
        <v>1192.4638340156139</v>
      </c>
      <c r="F19" s="37">
        <v>858.50599670679924</v>
      </c>
      <c r="G19" s="28">
        <f t="shared" si="2"/>
        <v>0.79445063977229047</v>
      </c>
      <c r="H19" s="38">
        <f>F19*$M$5/1000000</f>
        <v>1219.078515323655</v>
      </c>
      <c r="I19" s="101">
        <v>0.43149559965607165</v>
      </c>
      <c r="J19" s="38">
        <f t="shared" si="1"/>
        <v>984.92785932428444</v>
      </c>
      <c r="K19" s="25"/>
    </row>
    <row r="20" spans="1:11" ht="12.75">
      <c r="A20" s="60">
        <v>18</v>
      </c>
      <c r="B20" s="61">
        <f t="shared" si="5"/>
        <v>2275.7429659282834</v>
      </c>
      <c r="C20" s="65">
        <f t="shared" si="4"/>
        <v>3.0000000000000001E-3</v>
      </c>
      <c r="D20" s="63">
        <f t="shared" si="0"/>
        <v>0.94599999999999995</v>
      </c>
      <c r="E20" s="64">
        <f>(B20*$M$6)/2205</f>
        <v>1188.8864425135671</v>
      </c>
      <c r="F20" s="37">
        <v>871.08003340645462</v>
      </c>
      <c r="G20" s="28">
        <f t="shared" si="2"/>
        <v>0.80608649501253415</v>
      </c>
      <c r="H20" s="38">
        <f>F20*$M$5/1000000</f>
        <v>1236.9336474371655</v>
      </c>
      <c r="I20" s="101">
        <v>0.43805997525178464</v>
      </c>
      <c r="J20" s="38">
        <f t="shared" si="1"/>
        <v>996.91190733396684</v>
      </c>
      <c r="K20" s="25"/>
    </row>
    <row r="21" spans="1:11" ht="12.75">
      <c r="A21" s="60">
        <v>19</v>
      </c>
      <c r="B21" s="61">
        <f t="shared" si="5"/>
        <v>2268.9157370304983</v>
      </c>
      <c r="C21" s="65">
        <f t="shared" si="4"/>
        <v>3.0000000000000001E-3</v>
      </c>
      <c r="D21" s="63">
        <f t="shared" si="0"/>
        <v>0.94299999999999995</v>
      </c>
      <c r="E21" s="64">
        <f>(B21*$M$6)/2205</f>
        <v>1185.3197831860261</v>
      </c>
      <c r="F21" s="37">
        <v>867.71900727037098</v>
      </c>
      <c r="G21" s="28">
        <f t="shared" si="2"/>
        <v>0.802976243745396</v>
      </c>
      <c r="H21" s="38">
        <f>F21*$M$5/1000000</f>
        <v>1232.1609903239266</v>
      </c>
      <c r="I21" s="101">
        <v>0.43742910210029928</v>
      </c>
      <c r="J21" s="38">
        <f t="shared" si="1"/>
        <v>992.48977359048968</v>
      </c>
      <c r="K21" s="25"/>
    </row>
    <row r="22" spans="1:11" ht="12.75">
      <c r="A22" s="60">
        <v>20</v>
      </c>
      <c r="B22" s="61">
        <f t="shared" si="5"/>
        <v>2262.1089898194068</v>
      </c>
      <c r="C22" s="65">
        <f t="shared" si="4"/>
        <v>3.0000000000000001E-3</v>
      </c>
      <c r="D22" s="63">
        <f t="shared" si="0"/>
        <v>0.94</v>
      </c>
      <c r="E22" s="64">
        <f>(B22*$M$6)/2205</f>
        <v>1181.763823836468</v>
      </c>
      <c r="F22" s="37">
        <v>871.45537517027549</v>
      </c>
      <c r="G22" s="28">
        <f t="shared" si="2"/>
        <v>0.80643383155478854</v>
      </c>
      <c r="H22" s="38">
        <f>F22*$M$5/1000000</f>
        <v>1237.4666327417913</v>
      </c>
      <c r="I22" s="101">
        <v>0.43965360039252482</v>
      </c>
      <c r="J22" s="38">
        <f t="shared" si="1"/>
        <v>994.54436185439954</v>
      </c>
      <c r="K22" s="25"/>
    </row>
    <row r="23" spans="1:11" ht="12.75">
      <c r="A23" s="60">
        <v>21</v>
      </c>
      <c r="B23" s="61">
        <f t="shared" si="5"/>
        <v>2255.3226628499488</v>
      </c>
      <c r="C23" s="65">
        <f t="shared" si="4"/>
        <v>3.0000000000000001E-3</v>
      </c>
      <c r="D23" s="63">
        <f t="shared" si="0"/>
        <v>0.93699999999999994</v>
      </c>
      <c r="E23" s="64">
        <f>(B23*$M$6)/2205</f>
        <v>1178.2185323649589</v>
      </c>
      <c r="F23" s="37">
        <v>861.28766854099388</v>
      </c>
      <c r="G23" s="28">
        <f t="shared" si="2"/>
        <v>0.79702476386319909</v>
      </c>
      <c r="H23" s="38">
        <f>F23*$M$5/1000000</f>
        <v>1223.0284893282112</v>
      </c>
      <c r="I23" s="101">
        <f>$I$3*G23/$G$3</f>
        <v>0.44887195782178269</v>
      </c>
      <c r="J23" s="38">
        <f t="shared" si="1"/>
        <v>1012.3510991932928</v>
      </c>
      <c r="K23" s="25"/>
    </row>
    <row r="24" spans="1:11" ht="12.75">
      <c r="A24" s="60">
        <v>22</v>
      </c>
      <c r="B24" s="61">
        <f t="shared" si="5"/>
        <v>2248.5566948613987</v>
      </c>
      <c r="C24" s="65">
        <f t="shared" si="4"/>
        <v>3.0000000000000001E-3</v>
      </c>
      <c r="D24" s="63">
        <f t="shared" si="0"/>
        <v>0.93399999999999994</v>
      </c>
      <c r="E24" s="64">
        <f>(B24*$M$6)/2205</f>
        <v>1174.6838767678637</v>
      </c>
      <c r="F24" s="37">
        <v>859.49312922379306</v>
      </c>
      <c r="G24" s="28">
        <f t="shared" si="2"/>
        <v>0.79536411977438015</v>
      </c>
      <c r="H24" s="38">
        <f>F24*$M$5/1000000</f>
        <v>1220.480243497786</v>
      </c>
      <c r="I24" s="101">
        <f t="shared" ref="I24:I42" si="6">$I$3*G24/$G$3</f>
        <v>0.44793670888449716</v>
      </c>
      <c r="J24" s="38">
        <f t="shared" si="1"/>
        <v>1007.2110856364175</v>
      </c>
      <c r="K24" s="25"/>
    </row>
    <row r="25" spans="1:11" ht="12.75">
      <c r="A25" s="60">
        <v>23</v>
      </c>
      <c r="B25" s="61">
        <f t="shared" si="5"/>
        <v>2241.8110247768145</v>
      </c>
      <c r="C25" s="65">
        <f t="shared" si="4"/>
        <v>3.0000000000000001E-3</v>
      </c>
      <c r="D25" s="63">
        <f t="shared" si="0"/>
        <v>0.93099999999999994</v>
      </c>
      <c r="E25" s="64">
        <f>(B25*$M$6)/2205</f>
        <v>1171.1598251375601</v>
      </c>
      <c r="F25" s="37">
        <v>857.94165110906238</v>
      </c>
      <c r="G25" s="28">
        <f t="shared" si="2"/>
        <v>0.79392840146190635</v>
      </c>
      <c r="H25" s="38">
        <f>F25*$M$5/1000000</f>
        <v>1218.2771445748688</v>
      </c>
      <c r="I25" s="101">
        <f t="shared" si="6"/>
        <v>0.44712813464813711</v>
      </c>
      <c r="J25" s="38">
        <f t="shared" si="1"/>
        <v>1002.3767817420858</v>
      </c>
      <c r="K25" s="25"/>
    </row>
    <row r="26" spans="1:11" ht="12.75">
      <c r="A26" s="60">
        <v>24</v>
      </c>
      <c r="B26" s="61">
        <f t="shared" si="5"/>
        <v>2235.0855917024842</v>
      </c>
      <c r="C26" s="65">
        <f t="shared" si="4"/>
        <v>3.0000000000000001E-3</v>
      </c>
      <c r="D26" s="63">
        <f>D25-C26</f>
        <v>0.92799999999999994</v>
      </c>
      <c r="E26" s="64">
        <f>(B26*$M$6)/2205</f>
        <v>1167.6463456621475</v>
      </c>
      <c r="F26" s="37">
        <v>856.5754752121984</v>
      </c>
      <c r="G26" s="28">
        <f t="shared" si="2"/>
        <v>0.79266415948867797</v>
      </c>
      <c r="H26" s="38">
        <f>F26*$M$5/1000000</f>
        <v>1216.3371748013217</v>
      </c>
      <c r="I26" s="101">
        <f t="shared" si="6"/>
        <v>0.44641613322056178</v>
      </c>
      <c r="J26" s="38">
        <f t="shared" si="1"/>
        <v>997.7782672648143</v>
      </c>
      <c r="K26" s="25"/>
    </row>
    <row r="27" spans="1:11" ht="12.75">
      <c r="A27" s="60">
        <v>25</v>
      </c>
      <c r="B27" s="61">
        <f t="shared" si="5"/>
        <v>2228.3803349273767</v>
      </c>
      <c r="C27" s="65">
        <f t="shared" si="4"/>
        <v>3.0000000000000001E-3</v>
      </c>
      <c r="D27" s="63">
        <f t="shared" si="0"/>
        <v>0.92499999999999993</v>
      </c>
      <c r="E27" s="64">
        <f>(B27*$M$6)/2205</f>
        <v>1164.1434066251611</v>
      </c>
      <c r="F27" s="37">
        <v>855.35523274315665</v>
      </c>
      <c r="G27" s="28">
        <f t="shared" si="2"/>
        <v>0.7915349624720861</v>
      </c>
      <c r="H27" s="38">
        <f>F27*$M$5/1000000</f>
        <v>1214.6044304952825</v>
      </c>
      <c r="I27" s="101">
        <f t="shared" si="6"/>
        <v>0.44578018701338584</v>
      </c>
      <c r="J27" s="38">
        <f t="shared" si="1"/>
        <v>993.36780244087731</v>
      </c>
      <c r="K27" s="25"/>
    </row>
    <row r="28" spans="1:11" ht="12.75">
      <c r="A28" s="60">
        <v>26</v>
      </c>
      <c r="B28" s="61">
        <f t="shared" si="5"/>
        <v>2221.6951939225946</v>
      </c>
      <c r="C28" s="65">
        <f t="shared" si="4"/>
        <v>3.0000000000000001E-3</v>
      </c>
      <c r="D28" s="63">
        <f t="shared" si="0"/>
        <v>0.92199999999999993</v>
      </c>
      <c r="E28" s="64">
        <f>(B28*$M$6)/2205</f>
        <v>1160.6509764052857</v>
      </c>
      <c r="F28" s="37">
        <v>854.25288671845351</v>
      </c>
      <c r="G28" s="28">
        <f t="shared" si="2"/>
        <v>0.79051486534063298</v>
      </c>
      <c r="H28" s="38">
        <f>F28*$M$5/1000000</f>
        <v>1213.0390991402039</v>
      </c>
      <c r="I28" s="101">
        <f t="shared" si="6"/>
        <v>0.44520568416563955</v>
      </c>
      <c r="J28" s="38">
        <f t="shared" si="1"/>
        <v>989.11132881782203</v>
      </c>
      <c r="K28" s="25"/>
    </row>
    <row r="29" spans="1:11" ht="12.75">
      <c r="A29" s="60">
        <v>27</v>
      </c>
      <c r="B29" s="61">
        <f t="shared" si="5"/>
        <v>2215.0301083408267</v>
      </c>
      <c r="C29" s="65">
        <f t="shared" si="4"/>
        <v>3.0000000000000001E-3</v>
      </c>
      <c r="D29" s="63">
        <f t="shared" si="0"/>
        <v>0.91899999999999993</v>
      </c>
      <c r="E29" s="64">
        <f>(B29*$M$6)/2205</f>
        <v>1157.1690234760697</v>
      </c>
      <c r="F29" s="37">
        <v>853.2477641854282</v>
      </c>
      <c r="G29" s="28">
        <f t="shared" si="2"/>
        <v>0.78958473760422276</v>
      </c>
      <c r="H29" s="38">
        <f>F29*$M$5/1000000</f>
        <v>1211.6118251433079</v>
      </c>
      <c r="I29" s="101">
        <f t="shared" si="6"/>
        <v>0.4446818506826708</v>
      </c>
      <c r="J29" s="38">
        <f t="shared" si="1"/>
        <v>984.98368789483561</v>
      </c>
      <c r="K29" s="25"/>
    </row>
    <row r="30" spans="1:11" ht="12.75">
      <c r="A30" s="60">
        <v>28</v>
      </c>
      <c r="B30" s="61">
        <f t="shared" si="5"/>
        <v>2208.3850180158042</v>
      </c>
      <c r="C30" s="65">
        <f t="shared" si="4"/>
        <v>3.0000000000000001E-3</v>
      </c>
      <c r="D30" s="63">
        <f t="shared" si="0"/>
        <v>0.91599999999999993</v>
      </c>
      <c r="E30" s="64">
        <f>(B30*$M$6)/2205</f>
        <v>1153.6975164056416</v>
      </c>
      <c r="F30" s="37">
        <v>852.32418547419945</v>
      </c>
      <c r="G30" s="28">
        <f t="shared" si="2"/>
        <v>0.78873006949377233</v>
      </c>
      <c r="H30" s="38">
        <f>F30*$M$5/1000000</f>
        <v>1210.3003433733631</v>
      </c>
      <c r="I30" s="101">
        <f t="shared" si="6"/>
        <v>0.4442005148880761</v>
      </c>
      <c r="J30" s="38">
        <f t="shared" si="1"/>
        <v>980.96576207373346</v>
      </c>
      <c r="K30" s="25"/>
    </row>
    <row r="31" spans="1:11" ht="12.75">
      <c r="A31" s="60">
        <v>29</v>
      </c>
      <c r="B31" s="61">
        <f>B30-(B30*C31)</f>
        <v>2201.7598629617569</v>
      </c>
      <c r="C31" s="65">
        <f t="shared" si="4"/>
        <v>3.0000000000000001E-3</v>
      </c>
      <c r="D31" s="63">
        <f t="shared" si="0"/>
        <v>0.91299999999999992</v>
      </c>
      <c r="E31" s="64">
        <f>(B31*$M$6)/2205</f>
        <v>1150.2364238564246</v>
      </c>
      <c r="F31" s="37">
        <v>851.46997644264275</v>
      </c>
      <c r="G31" s="28">
        <f t="shared" si="2"/>
        <v>0.78793959521144619</v>
      </c>
      <c r="H31" s="38">
        <f>F31*$M$5/1000000</f>
        <v>1209.0873665485528</v>
      </c>
      <c r="I31" s="101">
        <f t="shared" si="6"/>
        <v>0.44375533205963341</v>
      </c>
      <c r="J31" s="38">
        <f t="shared" si="1"/>
        <v>977.04267910416741</v>
      </c>
      <c r="K31" s="25"/>
    </row>
    <row r="32" spans="1:11" ht="12.75">
      <c r="A32" s="60">
        <v>30</v>
      </c>
      <c r="B32" s="61">
        <f t="shared" si="5"/>
        <v>2195.1545833728715</v>
      </c>
      <c r="C32" s="65">
        <f t="shared" si="4"/>
        <v>3.0000000000000001E-3</v>
      </c>
      <c r="D32" s="63">
        <f t="shared" si="0"/>
        <v>0.90999999999999992</v>
      </c>
      <c r="E32" s="64">
        <f>(B32*$M$6)/2205</f>
        <v>1146.7857145848552</v>
      </c>
      <c r="F32" s="37">
        <v>850.67549638014748</v>
      </c>
      <c r="G32" s="28">
        <f t="shared" si="2"/>
        <v>0.78720439336503301</v>
      </c>
      <c r="H32" s="38">
        <f>F32*$M$5/1000000</f>
        <v>1207.9592048598095</v>
      </c>
      <c r="I32" s="101">
        <f t="shared" si="6"/>
        <v>0.44334127780792593</v>
      </c>
      <c r="J32" s="38">
        <f t="shared" si="1"/>
        <v>973.20263797845405</v>
      </c>
      <c r="K32" s="25"/>
    </row>
    <row r="33" spans="1:11" ht="12.75">
      <c r="A33" s="60">
        <v>31</v>
      </c>
      <c r="B33" s="61">
        <f t="shared" si="5"/>
        <v>2188.5691196227526</v>
      </c>
      <c r="C33" s="65">
        <f t="shared" si="4"/>
        <v>3.0000000000000001E-3</v>
      </c>
      <c r="D33" s="63">
        <f t="shared" si="0"/>
        <v>0.90699999999999992</v>
      </c>
      <c r="E33" s="64">
        <f>(B33*$M$6)/2205</f>
        <v>1143.3453574411008</v>
      </c>
      <c r="F33" s="37">
        <v>849.93298098696732</v>
      </c>
      <c r="G33" s="28">
        <f t="shared" si="2"/>
        <v>0.78651727896930879</v>
      </c>
      <c r="H33" s="38">
        <f>F33*$M$5/1000000</f>
        <v>1206.9048330014937</v>
      </c>
      <c r="I33" s="101">
        <f t="shared" si="6"/>
        <v>0.44295430566096117</v>
      </c>
      <c r="J33" s="38">
        <f t="shared" si="1"/>
        <v>969.43611477351749</v>
      </c>
      <c r="K33" s="25"/>
    </row>
    <row r="34" spans="1:11" ht="12.75">
      <c r="A34" s="60">
        <v>32</v>
      </c>
      <c r="B34" s="61">
        <f t="shared" si="5"/>
        <v>2182.0034122638845</v>
      </c>
      <c r="C34" s="65">
        <f t="shared" si="4"/>
        <v>3.0000000000000001E-3</v>
      </c>
      <c r="D34" s="63">
        <f t="shared" si="0"/>
        <v>0.90399999999999991</v>
      </c>
      <c r="E34" s="64">
        <f>(B34*$M$6)/2205</f>
        <v>1139.9153213687773</v>
      </c>
      <c r="F34" s="37">
        <v>849.2360853412514</v>
      </c>
      <c r="G34" s="28">
        <f t="shared" si="2"/>
        <v>0.78587238051348285</v>
      </c>
      <c r="H34" s="38">
        <f>F34*$M$5/1000000</f>
        <v>1205.9152411845771</v>
      </c>
      <c r="I34" s="101">
        <f t="shared" si="6"/>
        <v>0.44259110887513015</v>
      </c>
      <c r="J34" s="38">
        <f t="shared" si="1"/>
        <v>965.73530980319038</v>
      </c>
      <c r="K34" s="25"/>
    </row>
    <row r="35" spans="1:11" ht="12.75">
      <c r="A35" s="60">
        <v>33</v>
      </c>
      <c r="B35" s="61">
        <f t="shared" si="5"/>
        <v>2175.4574020270929</v>
      </c>
      <c r="C35" s="65">
        <f t="shared" si="4"/>
        <v>3.0000000000000001E-3</v>
      </c>
      <c r="D35" s="63">
        <f t="shared" si="0"/>
        <v>0.90099999999999991</v>
      </c>
      <c r="E35" s="64">
        <f>(B35*$M$6)/2205</f>
        <v>1136.4955754046712</v>
      </c>
      <c r="F35" s="37">
        <v>848.57955799943318</v>
      </c>
      <c r="G35" s="28">
        <f t="shared" si="2"/>
        <v>0.78526483837780037</v>
      </c>
      <c r="H35" s="38">
        <f>F35*$M$5/1000000</f>
        <v>1204.9829723591949</v>
      </c>
      <c r="I35" s="101">
        <f t="shared" si="6"/>
        <v>0.44224895058812635</v>
      </c>
      <c r="J35" s="38">
        <f t="shared" si="1"/>
        <v>962.0937530956536</v>
      </c>
      <c r="K35" s="25"/>
    </row>
    <row r="36" spans="1:11" ht="12.75">
      <c r="A36" s="60">
        <v>34</v>
      </c>
      <c r="B36" s="61">
        <f t="shared" si="5"/>
        <v>2168.9310298210116</v>
      </c>
      <c r="C36" s="65">
        <f t="shared" si="4"/>
        <v>3.0000000000000001E-3</v>
      </c>
      <c r="D36" s="63">
        <f t="shared" si="0"/>
        <v>0.89799999999999991</v>
      </c>
      <c r="E36" s="64">
        <f>(B36*$M$6)/2205</f>
        <v>1133.0860886784569</v>
      </c>
      <c r="F36" s="37">
        <v>847.9590035328207</v>
      </c>
      <c r="G36" s="28">
        <f t="shared" si="2"/>
        <v>0.78469058508789324</v>
      </c>
      <c r="H36" s="38">
        <f>F36*$M$5/1000000</f>
        <v>1204.1017850166054</v>
      </c>
      <c r="I36" s="101">
        <f t="shared" si="6"/>
        <v>0.44192554006161172</v>
      </c>
      <c r="J36" s="38">
        <f t="shared" si="1"/>
        <v>958.50601671003824</v>
      </c>
      <c r="K36" s="25"/>
    </row>
    <row r="37" spans="1:11" ht="12.75">
      <c r="A37" s="60">
        <v>35</v>
      </c>
      <c r="B37" s="61">
        <f>B36-(B36*C37)</f>
        <v>2162.4242367315487</v>
      </c>
      <c r="C37" s="65">
        <f t="shared" si="4"/>
        <v>3.0000000000000001E-3</v>
      </c>
      <c r="D37" s="63">
        <f t="shared" si="0"/>
        <v>0.89499999999999991</v>
      </c>
      <c r="E37" s="64">
        <f>(B37*$M$6)/2205</f>
        <v>1129.6868304124218</v>
      </c>
      <c r="F37" s="37">
        <v>847.3707061877758</v>
      </c>
      <c r="G37" s="28">
        <f t="shared" si="2"/>
        <v>0.7841461821321305</v>
      </c>
      <c r="H37" s="38">
        <f>F37*$M$5/1000000</f>
        <v>1203.2664027866415</v>
      </c>
      <c r="I37" s="101">
        <f t="shared" si="6"/>
        <v>0.44161894077928487</v>
      </c>
      <c r="J37" s="38">
        <f t="shared" si="1"/>
        <v>954.96750094084007</v>
      </c>
      <c r="K37" s="25"/>
    </row>
    <row r="38" spans="1:11" ht="12.75">
      <c r="A38" s="60">
        <v>36</v>
      </c>
      <c r="B38" s="61">
        <f t="shared" ref="B38:B42" si="7">B37-(B37*C38)</f>
        <v>2155.936964021354</v>
      </c>
      <c r="C38" s="65">
        <f t="shared" si="4"/>
        <v>3.0000000000000001E-3</v>
      </c>
      <c r="D38" s="63">
        <f t="shared" si="0"/>
        <v>0.8919999999999999</v>
      </c>
      <c r="E38" s="64">
        <f>(B38*$M$6)/2205</f>
        <v>1126.2977699211845</v>
      </c>
      <c r="F38" s="37">
        <v>846.81149671604976</v>
      </c>
      <c r="G38" s="28">
        <f t="shared" si="2"/>
        <v>0.7836286967280871</v>
      </c>
      <c r="H38" s="38">
        <f>F38*$M$5/1000000</f>
        <v>1202.4723253367906</v>
      </c>
      <c r="I38" s="101">
        <f t="shared" si="6"/>
        <v>0.44132750104367202</v>
      </c>
      <c r="J38" s="38">
        <f t="shared" si="1"/>
        <v>951.47427273922517</v>
      </c>
      <c r="K38" s="25"/>
    </row>
    <row r="39" spans="1:11" ht="12.75">
      <c r="A39" s="60">
        <v>37</v>
      </c>
      <c r="B39" s="61">
        <f t="shared" si="7"/>
        <v>2149.4691531292901</v>
      </c>
      <c r="C39" s="65">
        <f t="shared" si="4"/>
        <v>3.0000000000000001E-3</v>
      </c>
      <c r="D39" s="63">
        <f t="shared" si="0"/>
        <v>0.8889999999999999</v>
      </c>
      <c r="E39" s="64">
        <f>(B39*$M$6)/2205</f>
        <v>1122.9188766114212</v>
      </c>
      <c r="F39" s="37">
        <v>846.27865028672022</v>
      </c>
      <c r="G39" s="28">
        <f t="shared" si="2"/>
        <v>0.78313560735153642</v>
      </c>
      <c r="H39" s="38">
        <f>F39*$M$5/1000000</f>
        <v>1201.7156834071427</v>
      </c>
      <c r="I39" s="101">
        <f t="shared" si="6"/>
        <v>0.44104980077152411</v>
      </c>
      <c r="J39" s="38">
        <f t="shared" si="1"/>
        <v>948.02294175221004</v>
      </c>
      <c r="K39" s="25"/>
    </row>
    <row r="40" spans="1:11" ht="12.75">
      <c r="A40" s="60">
        <v>38</v>
      </c>
      <c r="B40" s="61">
        <f t="shared" si="7"/>
        <v>2143.0207456699022</v>
      </c>
      <c r="C40" s="65">
        <f t="shared" si="4"/>
        <v>3.0000000000000001E-3</v>
      </c>
      <c r="D40" s="63">
        <f t="shared" si="0"/>
        <v>0.8859999999999999</v>
      </c>
      <c r="E40" s="64">
        <f>(B40*$M$6)/2205</f>
        <v>1119.5501199815867</v>
      </c>
      <c r="F40" s="37">
        <v>845.76980716407991</v>
      </c>
      <c r="G40" s="28">
        <f t="shared" si="2"/>
        <v>0.78266473033276651</v>
      </c>
      <c r="H40" s="38">
        <f>F40*$M$5/1000000</f>
        <v>1200.9931261729935</v>
      </c>
      <c r="I40" s="101">
        <f t="shared" si="6"/>
        <v>0.440784610154003</v>
      </c>
      <c r="J40" s="38">
        <f t="shared" si="1"/>
        <v>944.61056393204865</v>
      </c>
      <c r="K40" s="25"/>
    </row>
    <row r="41" spans="1:11" ht="12.75">
      <c r="A41" s="60">
        <v>39</v>
      </c>
      <c r="B41" s="61">
        <f t="shared" si="7"/>
        <v>2136.5916834328923</v>
      </c>
      <c r="C41" s="65">
        <f t="shared" si="4"/>
        <v>3.0000000000000001E-3</v>
      </c>
      <c r="D41" s="63">
        <f t="shared" si="0"/>
        <v>0.8829999999999999</v>
      </c>
      <c r="E41" s="64">
        <f>(B41*$M$6)/2205</f>
        <v>1116.1914696216418</v>
      </c>
      <c r="F41" s="37">
        <v>845.28291032043342</v>
      </c>
      <c r="G41" s="28">
        <f t="shared" si="2"/>
        <v>0.78221416212424866</v>
      </c>
      <c r="H41" s="38">
        <f>F41*$M$5/1000000</f>
        <v>1200.3017326550155</v>
      </c>
      <c r="I41" s="101">
        <f t="shared" si="6"/>
        <v>0.44053085714272971</v>
      </c>
      <c r="J41" s="38">
        <f t="shared" si="1"/>
        <v>941.23456566671985</v>
      </c>
      <c r="K41" s="25"/>
    </row>
    <row r="42" spans="1:11" ht="12.75">
      <c r="A42" s="66">
        <v>40</v>
      </c>
      <c r="B42" s="67">
        <f t="shared" si="7"/>
        <v>2130.1819083825935</v>
      </c>
      <c r="C42" s="68">
        <f t="shared" si="4"/>
        <v>3.0000000000000001E-3</v>
      </c>
      <c r="D42" s="69">
        <f t="shared" si="0"/>
        <v>0.87999999999999989</v>
      </c>
      <c r="E42" s="70">
        <f>(B42*$M$6)/2205</f>
        <v>1112.842895212777</v>
      </c>
      <c r="F42" s="39">
        <v>844.81615582367908</v>
      </c>
      <c r="G42" s="40">
        <f t="shared" si="2"/>
        <v>0.78178223338992936</v>
      </c>
      <c r="H42" s="41">
        <f>F42*$M$5/1000000</f>
        <v>1199.6389412696242</v>
      </c>
      <c r="I42" s="102">
        <f t="shared" si="6"/>
        <v>0.4402876015935876</v>
      </c>
      <c r="J42" s="41">
        <f t="shared" si="1"/>
        <v>937.89268339982345</v>
      </c>
      <c r="K42" s="25"/>
    </row>
    <row r="43" spans="1:11" ht="12.75">
      <c r="A43" s="71" t="s">
        <v>19</v>
      </c>
      <c r="B43" s="72">
        <f>SUM(B3:B42)</f>
        <v>90402.879114184645</v>
      </c>
      <c r="C43" s="73"/>
      <c r="D43" s="74">
        <f>AVERAGE(D3:D42)</f>
        <v>0.93850000000000089</v>
      </c>
      <c r="E43" s="75">
        <f>SUM(E3:E42)</f>
        <v>47227.986179540298</v>
      </c>
      <c r="F43" s="29"/>
      <c r="G43" s="30">
        <f>AVERAGE(G3:G42)</f>
        <v>0.83817669523796001</v>
      </c>
      <c r="H43" s="49">
        <f>SUM(H3:H42)</f>
        <v>51447.032706900689</v>
      </c>
      <c r="I43" s="29"/>
      <c r="J43" s="49">
        <f>SUM(J3:J42)</f>
        <v>42130.089952450842</v>
      </c>
      <c r="K43" s="26"/>
    </row>
    <row r="44" spans="1:11" ht="12.75">
      <c r="C44" s="27"/>
      <c r="H44" s="50">
        <f>H43/E43</f>
        <v>1.0893336106121783</v>
      </c>
      <c r="J44" s="50">
        <f>J43/E43</f>
        <v>0.89205772594856225</v>
      </c>
    </row>
    <row r="45" spans="1:11" ht="12.75">
      <c r="C45" s="27"/>
    </row>
  </sheetData>
  <mergeCells count="4">
    <mergeCell ref="A1:E1"/>
    <mergeCell ref="F1:H1"/>
    <mergeCell ref="L2:M2"/>
    <mergeCell ref="I1:J1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6E78-2858-4AE6-90CE-476EF27E2B63}">
  <sheetPr>
    <tabColor rgb="FFFBEF97"/>
  </sheetPr>
  <dimension ref="A1:M45"/>
  <sheetViews>
    <sheetView showGridLines="0" tabSelected="1" topLeftCell="A10" zoomScale="140" zoomScaleNormal="140" workbookViewId="0">
      <selection activeCell="B3" sqref="B3:B42"/>
    </sheetView>
  </sheetViews>
  <sheetFormatPr defaultColWidth="8.85546875" defaultRowHeight="12.75"/>
  <cols>
    <col min="1" max="1" width="8.85546875" style="22"/>
    <col min="2" max="2" width="31.85546875" style="23" customWidth="1"/>
    <col min="3" max="3" width="17.85546875" style="23" customWidth="1"/>
    <col min="4" max="4" width="25.7109375" style="23" customWidth="1"/>
    <col min="5" max="5" width="35.42578125" style="23" bestFit="1" customWidth="1"/>
    <col min="6" max="6" width="33.7109375" style="23" customWidth="1"/>
    <col min="7" max="7" width="27.42578125" style="23" customWidth="1"/>
    <col min="8" max="8" width="25.5703125" style="23" customWidth="1"/>
    <col min="9" max="9" width="32.85546875" style="23" bestFit="1" customWidth="1"/>
    <col min="10" max="10" width="25.5703125" style="23" customWidth="1"/>
    <col min="11" max="11" width="11.7109375" style="23" customWidth="1"/>
    <col min="12" max="12" width="47.7109375" style="23" customWidth="1"/>
    <col min="13" max="13" width="39.42578125" style="23" customWidth="1"/>
    <col min="14" max="14" width="14.42578125" style="23" bestFit="1" customWidth="1"/>
    <col min="15" max="16384" width="8.85546875" style="23"/>
  </cols>
  <sheetData>
    <row r="1" spans="1:13" ht="15.75" customHeight="1">
      <c r="A1" s="80" t="s">
        <v>0</v>
      </c>
      <c r="B1" s="81"/>
      <c r="C1" s="81"/>
      <c r="D1" s="81"/>
      <c r="E1" s="82"/>
      <c r="F1" s="83" t="s">
        <v>25</v>
      </c>
      <c r="G1" s="84"/>
      <c r="H1" s="84"/>
      <c r="I1" s="95" t="s">
        <v>26</v>
      </c>
      <c r="J1" s="96"/>
    </row>
    <row r="2" spans="1:13" ht="12.95" customHeight="1">
      <c r="A2" s="52" t="s">
        <v>3</v>
      </c>
      <c r="B2" s="53" t="s">
        <v>4</v>
      </c>
      <c r="C2" s="53" t="s">
        <v>5</v>
      </c>
      <c r="D2" s="53" t="s">
        <v>6</v>
      </c>
      <c r="E2" s="54" t="s">
        <v>7</v>
      </c>
      <c r="F2" s="31" t="s">
        <v>27</v>
      </c>
      <c r="G2" s="32" t="s">
        <v>9</v>
      </c>
      <c r="H2" s="32" t="s">
        <v>10</v>
      </c>
      <c r="I2" s="89" t="s">
        <v>27</v>
      </c>
      <c r="J2" s="90" t="s">
        <v>10</v>
      </c>
      <c r="K2" s="24"/>
      <c r="L2" s="86" t="s">
        <v>11</v>
      </c>
      <c r="M2" s="87"/>
    </row>
    <row r="3" spans="1:13" ht="12.95" customHeight="1">
      <c r="A3" s="55">
        <v>1</v>
      </c>
      <c r="B3" s="56">
        <v>10568.32</v>
      </c>
      <c r="C3" s="57"/>
      <c r="D3" s="58">
        <f>1-C4</f>
        <v>0.997</v>
      </c>
      <c r="E3" s="59">
        <f>(B3*$M$6)/2205</f>
        <v>6518.3288888888883</v>
      </c>
      <c r="F3" s="34">
        <v>1029.1818021027552</v>
      </c>
      <c r="G3" s="35">
        <v>1</v>
      </c>
      <c r="H3" s="93">
        <f>F3*$M$5/1000000</f>
        <v>6257.4253567847518</v>
      </c>
      <c r="I3" s="97">
        <v>0.50128250998027801</v>
      </c>
      <c r="J3" s="91">
        <f>I3*B3</f>
        <v>5297.7139758747717</v>
      </c>
      <c r="K3" s="25"/>
      <c r="L3" s="46" t="s">
        <v>12</v>
      </c>
      <c r="M3" s="44" t="s">
        <v>28</v>
      </c>
    </row>
    <row r="4" spans="1:13">
      <c r="A4" s="60">
        <v>2</v>
      </c>
      <c r="B4" s="61">
        <f>B3-(B3*C4)</f>
        <v>10536.615040000001</v>
      </c>
      <c r="C4" s="62">
        <v>3.0000000000000001E-3</v>
      </c>
      <c r="D4" s="63">
        <f t="shared" ref="D4:D42" si="0">D3-C4</f>
        <v>0.99399999999999999</v>
      </c>
      <c r="E4" s="64">
        <f>(B4*$M$6)/2205</f>
        <v>6498.7739022222231</v>
      </c>
      <c r="F4" s="37">
        <v>1042.5120479698494</v>
      </c>
      <c r="G4" s="28">
        <f>F4*$G$3/$F$3</f>
        <v>1.0129522751372582</v>
      </c>
      <c r="H4" s="88">
        <f>F4*$M$5/1000000</f>
        <v>6338.4732516566837</v>
      </c>
      <c r="I4" s="98">
        <v>0.50524301033429675</v>
      </c>
      <c r="J4" s="91">
        <f t="shared" ref="J4:J42" si="1">I4*B4</f>
        <v>5323.5511015432267</v>
      </c>
      <c r="K4" s="25"/>
      <c r="L4" s="47" t="s">
        <v>14</v>
      </c>
      <c r="M4" s="45" t="s">
        <v>29</v>
      </c>
    </row>
    <row r="5" spans="1:13">
      <c r="A5" s="60">
        <v>3</v>
      </c>
      <c r="B5" s="61">
        <f>B4-(B4*C5)</f>
        <v>10505.005194880001</v>
      </c>
      <c r="C5" s="65">
        <f>$C$4</f>
        <v>3.0000000000000001E-3</v>
      </c>
      <c r="D5" s="63">
        <f>D4-C5</f>
        <v>0.99099999999999999</v>
      </c>
      <c r="E5" s="64">
        <f>(B5*$M$6)/2205</f>
        <v>6479.2775805155561</v>
      </c>
      <c r="F5" s="37">
        <v>1014.6809015318223</v>
      </c>
      <c r="G5" s="28">
        <f>F5*$G$3/$F$3</f>
        <v>0.98591026333607368</v>
      </c>
      <c r="H5" s="88">
        <f>F5*$M$5/1000000</f>
        <v>6169.2598813134791</v>
      </c>
      <c r="I5" s="98">
        <v>0.4867372465294974</v>
      </c>
      <c r="J5" s="91">
        <f t="shared" si="1"/>
        <v>5113.1773033339578</v>
      </c>
      <c r="K5" s="25"/>
      <c r="L5" s="47" t="s">
        <v>16</v>
      </c>
      <c r="M5" s="42">
        <v>6080000</v>
      </c>
    </row>
    <row r="6" spans="1:13">
      <c r="A6" s="60">
        <v>4</v>
      </c>
      <c r="B6" s="61">
        <f t="shared" ref="B6" si="2">B5-(B5*C6)</f>
        <v>10473.490179295361</v>
      </c>
      <c r="C6" s="65">
        <f t="shared" ref="C6:C42" si="3">$C$4</f>
        <v>3.0000000000000001E-3</v>
      </c>
      <c r="D6" s="63">
        <f t="shared" si="0"/>
        <v>0.98799999999999999</v>
      </c>
      <c r="E6" s="64">
        <f>(B6*$M$6)/2205</f>
        <v>6459.83974777401</v>
      </c>
      <c r="F6" s="37">
        <v>946.86492691676506</v>
      </c>
      <c r="G6" s="28">
        <f>F6*$G$3/$F$3</f>
        <v>0.92001716798936217</v>
      </c>
      <c r="H6" s="88">
        <f>F6*$M$5/1000000</f>
        <v>5756.9387556539314</v>
      </c>
      <c r="I6" s="98">
        <v>0.45575520838880551</v>
      </c>
      <c r="J6" s="91">
        <f t="shared" si="1"/>
        <v>4773.3476992228652</v>
      </c>
      <c r="K6" s="25"/>
      <c r="L6" s="47" t="s">
        <v>17</v>
      </c>
      <c r="M6" s="42">
        <v>1360</v>
      </c>
    </row>
    <row r="7" spans="1:13">
      <c r="A7" s="60">
        <v>5</v>
      </c>
      <c r="B7" s="61">
        <f>B6-(B6*C7)</f>
        <v>10442.069708757475</v>
      </c>
      <c r="C7" s="65">
        <f t="shared" si="3"/>
        <v>3.0000000000000001E-3</v>
      </c>
      <c r="D7" s="63">
        <f t="shared" si="0"/>
        <v>0.98499999999999999</v>
      </c>
      <c r="E7" s="64">
        <f>(B7*$M$6)/2205</f>
        <v>6440.4602285306873</v>
      </c>
      <c r="F7" s="37">
        <v>912.89411284800838</v>
      </c>
      <c r="G7" s="28">
        <f>F7*$G$3/$F$3</f>
        <v>0.887009574968042</v>
      </c>
      <c r="H7" s="88">
        <f>F7*$M$5/1000000</f>
        <v>5550.3962061158909</v>
      </c>
      <c r="I7" s="98">
        <v>0.44080100875925804</v>
      </c>
      <c r="J7" s="91">
        <f t="shared" si="1"/>
        <v>4602.8748611547871</v>
      </c>
      <c r="K7" s="25"/>
      <c r="L7" s="48" t="s">
        <v>30</v>
      </c>
      <c r="M7" s="43">
        <v>1736</v>
      </c>
    </row>
    <row r="8" spans="1:13" ht="12.6" customHeight="1">
      <c r="A8" s="60">
        <v>6</v>
      </c>
      <c r="B8" s="61">
        <f t="shared" ref="B8:B36" si="4">B7-(B7*C8)</f>
        <v>10410.743499631202</v>
      </c>
      <c r="C8" s="65">
        <f t="shared" si="3"/>
        <v>3.0000000000000001E-3</v>
      </c>
      <c r="D8" s="63">
        <f t="shared" si="0"/>
        <v>0.98199999999999998</v>
      </c>
      <c r="E8" s="64">
        <f>(B8*$M$6)/2205</f>
        <v>6421.1388478450954</v>
      </c>
      <c r="F8" s="37">
        <v>847.61004165990835</v>
      </c>
      <c r="G8" s="28">
        <f>F8*$G$3/$F$3</f>
        <v>0.8235765925205133</v>
      </c>
      <c r="H8" s="88">
        <f>F8*$M$5/1000000</f>
        <v>5153.4690532922432</v>
      </c>
      <c r="I8" s="98">
        <v>0.41212131467620788</v>
      </c>
      <c r="J8" s="91">
        <f t="shared" si="1"/>
        <v>4290.4892978247963</v>
      </c>
      <c r="K8" s="25"/>
    </row>
    <row r="9" spans="1:13">
      <c r="A9" s="60">
        <v>7</v>
      </c>
      <c r="B9" s="61">
        <f t="shared" si="4"/>
        <v>10379.511269132308</v>
      </c>
      <c r="C9" s="65">
        <f t="shared" si="3"/>
        <v>3.0000000000000001E-3</v>
      </c>
      <c r="D9" s="63">
        <f t="shared" si="0"/>
        <v>0.97899999999999998</v>
      </c>
      <c r="E9" s="64">
        <f>(B9*$M$6)/2205</f>
        <v>6401.8754313015597</v>
      </c>
      <c r="F9" s="37">
        <v>763.9345845771096</v>
      </c>
      <c r="G9" s="28">
        <f>F9*$G$3/$F$3</f>
        <v>0.7422737003474893</v>
      </c>
      <c r="H9" s="88">
        <f>F9*$M$5/1000000</f>
        <v>4644.7222742288268</v>
      </c>
      <c r="I9" s="98">
        <v>0.37482553632895454</v>
      </c>
      <c r="J9" s="91">
        <f t="shared" si="1"/>
        <v>3890.5058782849451</v>
      </c>
      <c r="K9" s="25"/>
    </row>
    <row r="10" spans="1:13">
      <c r="A10" s="60">
        <v>8</v>
      </c>
      <c r="B10" s="61">
        <f t="shared" si="4"/>
        <v>10348.372735324912</v>
      </c>
      <c r="C10" s="65">
        <f t="shared" si="3"/>
        <v>3.0000000000000001E-3</v>
      </c>
      <c r="D10" s="63">
        <f t="shared" si="0"/>
        <v>0.97599999999999998</v>
      </c>
      <c r="E10" s="64">
        <f>(B10*$M$6)/2205</f>
        <v>6382.6698050076557</v>
      </c>
      <c r="F10" s="37">
        <v>742.78870240636445</v>
      </c>
      <c r="G10" s="28">
        <f>F10*$G$3/$F$3</f>
        <v>0.72172739635383021</v>
      </c>
      <c r="H10" s="88">
        <f>F10*$M$5/1000000</f>
        <v>4516.1553106306965</v>
      </c>
      <c r="I10" s="98">
        <v>0.36423180705356417</v>
      </c>
      <c r="J10" s="91">
        <f t="shared" si="1"/>
        <v>3769.2065014512277</v>
      </c>
      <c r="K10" s="25"/>
    </row>
    <row r="11" spans="1:13">
      <c r="A11" s="60">
        <v>9</v>
      </c>
      <c r="B11" s="61">
        <f t="shared" si="4"/>
        <v>10317.327617118937</v>
      </c>
      <c r="C11" s="65">
        <f t="shared" si="3"/>
        <v>3.0000000000000001E-3</v>
      </c>
      <c r="D11" s="63">
        <f t="shared" si="0"/>
        <v>0.97299999999999998</v>
      </c>
      <c r="E11" s="64">
        <f>(B11*$M$6)/2205</f>
        <v>6363.5217955926328</v>
      </c>
      <c r="F11" s="37">
        <v>814.91383531919826</v>
      </c>
      <c r="G11" s="28">
        <f>F11*$G$3/$F$3</f>
        <v>0.79180746652750855</v>
      </c>
      <c r="H11" s="88">
        <f>F11*$M$5/1000000</f>
        <v>4954.6761187407255</v>
      </c>
      <c r="I11" s="98">
        <v>0.39503338614129196</v>
      </c>
      <c r="J11" s="91">
        <f t="shared" si="1"/>
        <v>4075.6888645195609</v>
      </c>
      <c r="K11" s="25"/>
    </row>
    <row r="12" spans="1:13">
      <c r="A12" s="60">
        <v>10</v>
      </c>
      <c r="B12" s="61">
        <f t="shared" si="4"/>
        <v>10286.375634267581</v>
      </c>
      <c r="C12" s="65">
        <f t="shared" si="3"/>
        <v>3.0000000000000001E-3</v>
      </c>
      <c r="D12" s="63">
        <f t="shared" si="0"/>
        <v>0.97</v>
      </c>
      <c r="E12" s="64">
        <f>(B12*$M$6)/2205</f>
        <v>6344.4312302058552</v>
      </c>
      <c r="F12" s="37">
        <v>798.07497007597965</v>
      </c>
      <c r="G12" s="28">
        <f>F12*$G$3/$F$3</f>
        <v>0.77544605670777156</v>
      </c>
      <c r="H12" s="88">
        <f>F12*$M$5/1000000</f>
        <v>4852.2958180619562</v>
      </c>
      <c r="I12" s="98">
        <v>0.38971511054776009</v>
      </c>
      <c r="J12" s="91">
        <f t="shared" si="1"/>
        <v>4008.7560174443761</v>
      </c>
      <c r="K12" s="25"/>
    </row>
    <row r="13" spans="1:13">
      <c r="A13" s="60">
        <v>11</v>
      </c>
      <c r="B13" s="61">
        <f t="shared" si="4"/>
        <v>10255.516507364779</v>
      </c>
      <c r="C13" s="65">
        <f t="shared" si="3"/>
        <v>3.0000000000000001E-3</v>
      </c>
      <c r="D13" s="63">
        <f t="shared" si="0"/>
        <v>0.96699999999999997</v>
      </c>
      <c r="E13" s="64">
        <f>(B13*$M$6)/2205</f>
        <v>6325.3979365152372</v>
      </c>
      <c r="F13" s="37">
        <v>806.78209792240443</v>
      </c>
      <c r="G13" s="28">
        <f>F13*$G$3/$F$3</f>
        <v>0.7839062994254673</v>
      </c>
      <c r="H13" s="88">
        <f>F13*$M$5/1000000</f>
        <v>4905.2351553682192</v>
      </c>
      <c r="I13" s="98">
        <v>0.39250678484098589</v>
      </c>
      <c r="J13" s="91">
        <f t="shared" si="1"/>
        <v>4025.3598111894062</v>
      </c>
      <c r="K13" s="25"/>
    </row>
    <row r="14" spans="1:13">
      <c r="A14" s="60">
        <v>12</v>
      </c>
      <c r="B14" s="61">
        <f t="shared" si="4"/>
        <v>10224.749957842685</v>
      </c>
      <c r="C14" s="65">
        <f t="shared" si="3"/>
        <v>3.0000000000000001E-3</v>
      </c>
      <c r="D14" s="63">
        <f t="shared" si="0"/>
        <v>0.96399999999999997</v>
      </c>
      <c r="E14" s="64">
        <f>(B14*$M$6)/2205</f>
        <v>6306.4217427056928</v>
      </c>
      <c r="F14" s="37">
        <v>755.35171022304564</v>
      </c>
      <c r="G14" s="28">
        <f>F14*$G$3/$F$3</f>
        <v>0.73393418799259924</v>
      </c>
      <c r="H14" s="88">
        <f>F14*$M$5/1000000</f>
        <v>4592.5383981561172</v>
      </c>
      <c r="I14" s="98">
        <v>0.36909245593254769</v>
      </c>
      <c r="J14" s="91">
        <f t="shared" si="1"/>
        <v>3773.8780732363703</v>
      </c>
      <c r="K14" s="25"/>
    </row>
    <row r="15" spans="1:13">
      <c r="A15" s="60">
        <v>13</v>
      </c>
      <c r="B15" s="61">
        <f t="shared" si="4"/>
        <v>10194.075707969158</v>
      </c>
      <c r="C15" s="65">
        <f t="shared" si="3"/>
        <v>3.0000000000000001E-3</v>
      </c>
      <c r="D15" s="63">
        <f t="shared" si="0"/>
        <v>0.96099999999999997</v>
      </c>
      <c r="E15" s="64">
        <f>(B15*$M$6)/2205</f>
        <v>6287.5024774775757</v>
      </c>
      <c r="F15" s="37">
        <v>743.00477898313432</v>
      </c>
      <c r="G15" s="28">
        <f>F15*$G$3/$F$3</f>
        <v>0.72193734621529138</v>
      </c>
      <c r="H15" s="88">
        <f>F15*$M$5/1000000</f>
        <v>4517.4690562174565</v>
      </c>
      <c r="I15" s="98">
        <v>0.36810360012888982</v>
      </c>
      <c r="J15" s="91">
        <f t="shared" si="1"/>
        <v>3752.4759680899083</v>
      </c>
      <c r="K15" s="25"/>
    </row>
    <row r="16" spans="1:13">
      <c r="A16" s="60">
        <v>14</v>
      </c>
      <c r="B16" s="61">
        <f t="shared" si="4"/>
        <v>10163.493480845251</v>
      </c>
      <c r="C16" s="65">
        <f t="shared" si="3"/>
        <v>3.0000000000000001E-3</v>
      </c>
      <c r="D16" s="63">
        <f t="shared" si="0"/>
        <v>0.95799999999999996</v>
      </c>
      <c r="E16" s="64">
        <f>(B16*$M$6)/2205</f>
        <v>6268.6399700451429</v>
      </c>
      <c r="F16" s="37">
        <v>754.03432208810602</v>
      </c>
      <c r="G16" s="28">
        <f>F16*$G$3/$F$3</f>
        <v>0.73265415356889685</v>
      </c>
      <c r="H16" s="88">
        <f>F16*$M$5/1000000</f>
        <v>4584.5286782956846</v>
      </c>
      <c r="I16" s="98">
        <v>0.36991322490151107</v>
      </c>
      <c r="J16" s="91">
        <f t="shared" si="1"/>
        <v>3759.6106497649507</v>
      </c>
      <c r="K16" s="25"/>
    </row>
    <row r="17" spans="1:11">
      <c r="A17" s="60">
        <v>15</v>
      </c>
      <c r="B17" s="61">
        <f t="shared" si="4"/>
        <v>10133.003000402716</v>
      </c>
      <c r="C17" s="65">
        <f t="shared" si="3"/>
        <v>3.0000000000000001E-3</v>
      </c>
      <c r="D17" s="63">
        <f t="shared" si="0"/>
        <v>0.95499999999999996</v>
      </c>
      <c r="E17" s="64">
        <f>(B17*$M$6)/2205</f>
        <v>6249.8340501350085</v>
      </c>
      <c r="F17" s="37">
        <v>769.63461294549222</v>
      </c>
      <c r="G17" s="28">
        <f>F17*$G$3/$F$3</f>
        <v>0.74781210799979791</v>
      </c>
      <c r="H17" s="88">
        <f>F17*$M$5/1000000</f>
        <v>4679.3784467085925</v>
      </c>
      <c r="I17" s="98">
        <v>0.37736013186228401</v>
      </c>
      <c r="J17" s="91">
        <f t="shared" si="1"/>
        <v>3823.7913483928883</v>
      </c>
      <c r="K17" s="25"/>
    </row>
    <row r="18" spans="1:11">
      <c r="A18" s="60">
        <v>16</v>
      </c>
      <c r="B18" s="61">
        <f>B17-(B17*C18)</f>
        <v>10102.603991401507</v>
      </c>
      <c r="C18" s="65">
        <f t="shared" si="3"/>
        <v>3.0000000000000001E-3</v>
      </c>
      <c r="D18" s="63">
        <f>D17-C18</f>
        <v>0.95199999999999996</v>
      </c>
      <c r="E18" s="64">
        <f>(B18*$M$6)/2205</f>
        <v>6231.0845479846039</v>
      </c>
      <c r="F18" s="37">
        <v>783.48674902019059</v>
      </c>
      <c r="G18" s="28">
        <f>F18*$G$3/$F$3</f>
        <v>0.76127147547636675</v>
      </c>
      <c r="H18" s="88">
        <f>F18*$M$5/1000000</f>
        <v>4763.5994340427587</v>
      </c>
      <c r="I18" s="98">
        <v>0.38346694561827355</v>
      </c>
      <c r="J18" s="91">
        <f t="shared" si="1"/>
        <v>3874.0146953737149</v>
      </c>
      <c r="K18" s="25"/>
    </row>
    <row r="19" spans="1:11">
      <c r="A19" s="60">
        <v>17</v>
      </c>
      <c r="B19" s="61">
        <f>B18-(B18*C19)</f>
        <v>10072.296179427303</v>
      </c>
      <c r="C19" s="65">
        <f t="shared" si="3"/>
        <v>3.0000000000000001E-3</v>
      </c>
      <c r="D19" s="63">
        <f>D18-C19</f>
        <v>0.94899999999999995</v>
      </c>
      <c r="E19" s="64">
        <f>(B19*$M$6)/2205</f>
        <v>6212.3912943406503</v>
      </c>
      <c r="F19" s="37">
        <v>796.14439769332489</v>
      </c>
      <c r="G19" s="28">
        <f>F19*$G$3/$F$3</f>
        <v>0.77357022448968304</v>
      </c>
      <c r="H19" s="88">
        <f>F19*$M$5/1000000</f>
        <v>4840.5579379754154</v>
      </c>
      <c r="I19" s="98">
        <v>0.39055979360562709</v>
      </c>
      <c r="J19" s="91">
        <f t="shared" si="1"/>
        <v>3933.8339169718738</v>
      </c>
      <c r="K19" s="25"/>
    </row>
    <row r="20" spans="1:11">
      <c r="A20" s="60">
        <v>18</v>
      </c>
      <c r="B20" s="61">
        <f t="shared" si="4"/>
        <v>10042.079290889022</v>
      </c>
      <c r="C20" s="65">
        <f t="shared" si="3"/>
        <v>3.0000000000000001E-3</v>
      </c>
      <c r="D20" s="63">
        <f t="shared" si="0"/>
        <v>0.94599999999999995</v>
      </c>
      <c r="E20" s="64">
        <f>(B20*$M$6)/2205</f>
        <v>6193.7541204576273</v>
      </c>
      <c r="F20" s="37">
        <v>782.47217238314261</v>
      </c>
      <c r="G20" s="28">
        <f>F20*$G$3/$F$3</f>
        <v>0.7602856665211607</v>
      </c>
      <c r="H20" s="88">
        <f>F20*$M$5/1000000</f>
        <v>4757.4308080895071</v>
      </c>
      <c r="I20" s="98">
        <v>0.38215853427674651</v>
      </c>
      <c r="J20" s="91">
        <f t="shared" si="1"/>
        <v>3837.6663028970183</v>
      </c>
      <c r="K20" s="25"/>
    </row>
    <row r="21" spans="1:11">
      <c r="A21" s="60">
        <v>19</v>
      </c>
      <c r="B21" s="61">
        <f t="shared" si="4"/>
        <v>10011.953053016354</v>
      </c>
      <c r="C21" s="65">
        <f t="shared" si="3"/>
        <v>3.0000000000000001E-3</v>
      </c>
      <c r="D21" s="63">
        <f t="shared" si="0"/>
        <v>0.94299999999999995</v>
      </c>
      <c r="E21" s="64">
        <f>(B21*$M$6)/2205</f>
        <v>6175.1728580962545</v>
      </c>
      <c r="F21" s="37">
        <v>803.92935418855473</v>
      </c>
      <c r="G21" s="28">
        <f>F21*$G$3/$F$3</f>
        <v>0.78113444344431682</v>
      </c>
      <c r="H21" s="88">
        <f>F21*$M$5/1000000</f>
        <v>4887.8904734664129</v>
      </c>
      <c r="I21" s="98">
        <v>0.39067837090127189</v>
      </c>
      <c r="J21" s="91">
        <f t="shared" si="1"/>
        <v>3911.4535082924444</v>
      </c>
      <c r="K21" s="25"/>
    </row>
    <row r="22" spans="1:11">
      <c r="A22" s="60">
        <v>20</v>
      </c>
      <c r="B22" s="61">
        <f t="shared" si="4"/>
        <v>9981.9171938573054</v>
      </c>
      <c r="C22" s="65">
        <f t="shared" si="3"/>
        <v>3.0000000000000001E-3</v>
      </c>
      <c r="D22" s="63">
        <f t="shared" si="0"/>
        <v>0.94</v>
      </c>
      <c r="E22" s="64">
        <f>(B22*$M$6)/2205</f>
        <v>6156.6473395219664</v>
      </c>
      <c r="F22" s="37">
        <v>803.91224129621173</v>
      </c>
      <c r="G22" s="28">
        <f>F22*$G$3/$F$3</f>
        <v>0.78111781577726325</v>
      </c>
      <c r="H22" s="88">
        <f>F22*$M$5/1000000</f>
        <v>4887.7864270809669</v>
      </c>
      <c r="I22" s="98">
        <v>0.38982481618387554</v>
      </c>
      <c r="J22" s="91">
        <f t="shared" si="1"/>
        <v>3891.199035258091</v>
      </c>
      <c r="K22" s="25"/>
    </row>
    <row r="23" spans="1:11">
      <c r="A23" s="60">
        <v>21</v>
      </c>
      <c r="B23" s="61">
        <f t="shared" si="4"/>
        <v>9951.9714422757334</v>
      </c>
      <c r="C23" s="65">
        <f t="shared" si="3"/>
        <v>3.0000000000000001E-3</v>
      </c>
      <c r="D23" s="63">
        <f t="shared" si="0"/>
        <v>0.93699999999999994</v>
      </c>
      <c r="E23" s="64">
        <f>(B23*$M$6)/2205</f>
        <v>6138.1773975034002</v>
      </c>
      <c r="F23" s="37">
        <v>804.28514883704077</v>
      </c>
      <c r="G23" s="28">
        <f>F23*$G$3/$F$3</f>
        <v>0.78148014975952673</v>
      </c>
      <c r="H23" s="88">
        <f>F23*$M$5/1000000</f>
        <v>4890.0537049292079</v>
      </c>
      <c r="I23" s="98">
        <f>$I$3*F23/$F$3</f>
        <v>0.39174233097121913</v>
      </c>
      <c r="J23" s="91">
        <f t="shared" si="1"/>
        <v>3898.6084905561015</v>
      </c>
      <c r="K23" s="25"/>
    </row>
    <row r="24" spans="1:11">
      <c r="A24" s="60">
        <v>22</v>
      </c>
      <c r="B24" s="61">
        <f t="shared" si="4"/>
        <v>9922.1155279489067</v>
      </c>
      <c r="C24" s="65">
        <f t="shared" si="3"/>
        <v>3.0000000000000001E-3</v>
      </c>
      <c r="D24" s="63">
        <f t="shared" si="0"/>
        <v>0.93399999999999994</v>
      </c>
      <c r="E24" s="64">
        <f>(B24*$M$6)/2205</f>
        <v>6119.7628653108904</v>
      </c>
      <c r="F24" s="37">
        <v>805.3128290416164</v>
      </c>
      <c r="G24" s="28">
        <f>F24*$G$3/$F$3</f>
        <v>0.78247869073885223</v>
      </c>
      <c r="H24" s="88">
        <f>F24*$M$5/1000000</f>
        <v>4896.3020005730277</v>
      </c>
      <c r="I24" s="98">
        <f t="shared" ref="I24:I42" si="5">$I$3*F24/$F$3</f>
        <v>0.39224288209965352</v>
      </c>
      <c r="J24" s="91">
        <f t="shared" si="1"/>
        <v>3891.8791912084043</v>
      </c>
      <c r="K24" s="25"/>
    </row>
    <row r="25" spans="1:11">
      <c r="A25" s="60">
        <v>23</v>
      </c>
      <c r="B25" s="61">
        <f t="shared" si="4"/>
        <v>9892.3491813650598</v>
      </c>
      <c r="C25" s="65">
        <f t="shared" si="3"/>
        <v>3.0000000000000001E-3</v>
      </c>
      <c r="D25" s="63">
        <f t="shared" si="0"/>
        <v>0.93099999999999994</v>
      </c>
      <c r="E25" s="64">
        <f>(B25*$M$6)/2205</f>
        <v>6101.403576714958</v>
      </c>
      <c r="F25" s="37">
        <v>806.20410747168341</v>
      </c>
      <c r="G25" s="28">
        <f>F25*$G$3/$F$3</f>
        <v>0.78334469753011693</v>
      </c>
      <c r="H25" s="88">
        <f>F25*$M$5/1000000</f>
        <v>4901.7209734278358</v>
      </c>
      <c r="I25" s="98">
        <f t="shared" si="5"/>
        <v>0.39267699615763868</v>
      </c>
      <c r="J25" s="91">
        <f t="shared" si="1"/>
        <v>3884.4979614809076</v>
      </c>
      <c r="K25" s="25"/>
    </row>
    <row r="26" spans="1:11">
      <c r="A26" s="60">
        <v>24</v>
      </c>
      <c r="B26" s="61">
        <f t="shared" si="4"/>
        <v>9862.6721338209645</v>
      </c>
      <c r="C26" s="65">
        <f t="shared" si="3"/>
        <v>3.0000000000000001E-3</v>
      </c>
      <c r="D26" s="63">
        <f>D25-C26</f>
        <v>0.92799999999999994</v>
      </c>
      <c r="E26" s="64">
        <f>(B26*$M$6)/2205</f>
        <v>6083.0993659848127</v>
      </c>
      <c r="F26" s="37">
        <v>806.99108950421441</v>
      </c>
      <c r="G26" s="28">
        <f>F26*$G$3/$F$3</f>
        <v>0.78410936518254049</v>
      </c>
      <c r="H26" s="88">
        <f>F26*$M$5/1000000</f>
        <v>4906.5058241856232</v>
      </c>
      <c r="I26" s="98">
        <f t="shared" si="5"/>
        <v>0.39306031067774627</v>
      </c>
      <c r="J26" s="91">
        <f t="shared" si="1"/>
        <v>3876.6249730324189</v>
      </c>
      <c r="K26" s="25"/>
    </row>
    <row r="27" spans="1:11">
      <c r="A27" s="60">
        <v>25</v>
      </c>
      <c r="B27" s="61">
        <f t="shared" si="4"/>
        <v>9833.0841174195011</v>
      </c>
      <c r="C27" s="65">
        <f t="shared" si="3"/>
        <v>3.0000000000000001E-3</v>
      </c>
      <c r="D27" s="63">
        <f t="shared" si="0"/>
        <v>0.92499999999999993</v>
      </c>
      <c r="E27" s="64">
        <f>(B27*$M$6)/2205</f>
        <v>6064.8500678868577</v>
      </c>
      <c r="F27" s="37">
        <v>807.69571985437983</v>
      </c>
      <c r="G27" s="28">
        <f>F27*$G$3/$F$3</f>
        <v>0.7847940161827095</v>
      </c>
      <c r="H27" s="88">
        <f>F27*$M$5/1000000</f>
        <v>4910.7899767146291</v>
      </c>
      <c r="I27" s="98">
        <f t="shared" si="5"/>
        <v>0.39340351424957154</v>
      </c>
      <c r="J27" s="91">
        <f t="shared" si="1"/>
        <v>3868.3698477044782</v>
      </c>
      <c r="K27" s="25"/>
    </row>
    <row r="28" spans="1:11">
      <c r="A28" s="60">
        <v>26</v>
      </c>
      <c r="B28" s="61">
        <f t="shared" si="4"/>
        <v>9803.5848650672433</v>
      </c>
      <c r="C28" s="65">
        <f t="shared" si="3"/>
        <v>3.0000000000000001E-3</v>
      </c>
      <c r="D28" s="63">
        <f t="shared" si="0"/>
        <v>0.92199999999999993</v>
      </c>
      <c r="E28" s="64">
        <f>(B28*$M$6)/2205</f>
        <v>6046.655517683198</v>
      </c>
      <c r="F28" s="37">
        <v>808.33366554469501</v>
      </c>
      <c r="G28" s="28">
        <f>F28*$G$3/$F$3</f>
        <v>0.78541387332457868</v>
      </c>
      <c r="H28" s="88">
        <f>F28*$M$5/1000000</f>
        <v>4914.6686865117454</v>
      </c>
      <c r="I28" s="98">
        <f t="shared" si="5"/>
        <v>0.39371423779347692</v>
      </c>
      <c r="J28" s="91">
        <f t="shared" si="1"/>
        <v>3859.8109427936161</v>
      </c>
      <c r="K28" s="25"/>
    </row>
    <row r="29" spans="1:11">
      <c r="A29" s="60">
        <v>27</v>
      </c>
      <c r="B29" s="61">
        <f t="shared" si="4"/>
        <v>9774.1741104720422</v>
      </c>
      <c r="C29" s="65">
        <f t="shared" si="3"/>
        <v>3.0000000000000001E-3</v>
      </c>
      <c r="D29" s="63">
        <f t="shared" si="0"/>
        <v>0.91899999999999993</v>
      </c>
      <c r="E29" s="64">
        <f>(B29*$M$6)/2205</f>
        <v>6028.5155511301482</v>
      </c>
      <c r="F29" s="37">
        <v>808.91650429214508</v>
      </c>
      <c r="G29" s="28">
        <f>F29*$G$3/$F$3</f>
        <v>0.78598018604625652</v>
      </c>
      <c r="H29" s="88">
        <f>F29*$M$5/1000000</f>
        <v>4918.2123460962421</v>
      </c>
      <c r="I29" s="98">
        <f t="shared" si="5"/>
        <v>0.39399812045603333</v>
      </c>
      <c r="J29" s="91">
        <f t="shared" si="1"/>
        <v>3851.0062285360059</v>
      </c>
      <c r="K29" s="25"/>
    </row>
    <row r="30" spans="1:11">
      <c r="A30" s="60">
        <v>28</v>
      </c>
      <c r="B30" s="61">
        <f t="shared" si="4"/>
        <v>9744.8515881406256</v>
      </c>
      <c r="C30" s="65">
        <f t="shared" si="3"/>
        <v>3.0000000000000001E-3</v>
      </c>
      <c r="D30" s="63">
        <f t="shared" si="0"/>
        <v>0.91599999999999993</v>
      </c>
      <c r="E30" s="64">
        <f>(B30*$M$6)/2205</f>
        <v>6010.4300044767579</v>
      </c>
      <c r="F30" s="37">
        <v>809.45303506882203</v>
      </c>
      <c r="G30" s="28">
        <f>F30*$G$3/$F$3</f>
        <v>0.78650150383052042</v>
      </c>
      <c r="H30" s="88">
        <f>F30*$M$5/1000000</f>
        <v>4921.4744532184377</v>
      </c>
      <c r="I30" s="98">
        <f t="shared" si="5"/>
        <v>0.39425944794342649</v>
      </c>
      <c r="J30" s="91">
        <f t="shared" si="1"/>
        <v>3841.999807430946</v>
      </c>
      <c r="K30" s="25"/>
    </row>
    <row r="31" spans="1:11">
      <c r="A31" s="60">
        <v>29</v>
      </c>
      <c r="B31" s="61">
        <f>B30-(B30*C31)</f>
        <v>9715.6170333762038</v>
      </c>
      <c r="C31" s="65">
        <f t="shared" si="3"/>
        <v>3.0000000000000001E-3</v>
      </c>
      <c r="D31" s="63">
        <f t="shared" si="0"/>
        <v>0.91299999999999992</v>
      </c>
      <c r="E31" s="64">
        <f>(B31*$M$6)/2205</f>
        <v>5992.3987144633275</v>
      </c>
      <c r="F31" s="37">
        <v>809.95010223911424</v>
      </c>
      <c r="G31" s="28">
        <f>F31*$G$3/$F$3</f>
        <v>0.78698447697411533</v>
      </c>
      <c r="H31" s="88">
        <f>F31*$M$5/1000000</f>
        <v>4924.4966216138146</v>
      </c>
      <c r="I31" s="98">
        <f t="shared" si="5"/>
        <v>0.39450155393310077</v>
      </c>
      <c r="J31" s="91">
        <f t="shared" si="1"/>
        <v>3832.8260170858148</v>
      </c>
      <c r="K31" s="25"/>
    </row>
    <row r="32" spans="1:11">
      <c r="A32" s="60">
        <v>30</v>
      </c>
      <c r="B32" s="61">
        <f t="shared" si="4"/>
        <v>9686.4701822760744</v>
      </c>
      <c r="C32" s="65">
        <f t="shared" si="3"/>
        <v>3.0000000000000001E-3</v>
      </c>
      <c r="D32" s="63">
        <f t="shared" si="0"/>
        <v>0.90999999999999992</v>
      </c>
      <c r="E32" s="64">
        <f>(B32*$M$6)/2205</f>
        <v>5974.4215183199376</v>
      </c>
      <c r="F32" s="37">
        <v>810.41313506242693</v>
      </c>
      <c r="G32" s="28">
        <f>F32*$G$3/$F$3</f>
        <v>0.78743438079321382</v>
      </c>
      <c r="H32" s="88">
        <f>F32*$M$5/1000000</f>
        <v>4927.3118611795562</v>
      </c>
      <c r="I32" s="98">
        <f t="shared" si="5"/>
        <v>0.39472708284878821</v>
      </c>
      <c r="J32" s="91">
        <f t="shared" si="1"/>
        <v>3823.5121181516047</v>
      </c>
      <c r="K32" s="25"/>
    </row>
    <row r="33" spans="1:11">
      <c r="A33" s="60">
        <v>31</v>
      </c>
      <c r="B33" s="61">
        <f t="shared" si="4"/>
        <v>9657.4107717292463</v>
      </c>
      <c r="C33" s="65">
        <f t="shared" si="3"/>
        <v>3.0000000000000001E-3</v>
      </c>
      <c r="D33" s="63">
        <f t="shared" si="0"/>
        <v>0.90699999999999992</v>
      </c>
      <c r="E33" s="64">
        <f>(B33*$M$6)/2205</f>
        <v>5956.4982537649776</v>
      </c>
      <c r="F33" s="37">
        <v>810.84651296240486</v>
      </c>
      <c r="G33" s="28">
        <f>F33*$G$3/$F$3</f>
        <v>0.78785547053566007</v>
      </c>
      <c r="H33" s="88">
        <f>F33*$M$5/1000000</f>
        <v>4929.9467988114211</v>
      </c>
      <c r="I33" s="98">
        <f t="shared" si="5"/>
        <v>0.39493816777180868</v>
      </c>
      <c r="J33" s="91">
        <f t="shared" si="1"/>
        <v>3814.0801156064772</v>
      </c>
      <c r="K33" s="25"/>
    </row>
    <row r="34" spans="1:11">
      <c r="A34" s="60">
        <v>32</v>
      </c>
      <c r="B34" s="61">
        <f t="shared" si="4"/>
        <v>9628.4385394140591</v>
      </c>
      <c r="C34" s="65">
        <f t="shared" si="3"/>
        <v>3.0000000000000001E-3</v>
      </c>
      <c r="D34" s="63">
        <f t="shared" si="0"/>
        <v>0.90399999999999991</v>
      </c>
      <c r="E34" s="64">
        <f>(B34*$M$6)/2205</f>
        <v>5938.6287590036827</v>
      </c>
      <c r="F34" s="37">
        <v>811.25382001941603</v>
      </c>
      <c r="G34" s="28">
        <f>F34*$G$3/$F$3</f>
        <v>0.78825122865747976</v>
      </c>
      <c r="H34" s="88">
        <f>F34*$M$5/1000000</f>
        <v>4932.4232257180493</v>
      </c>
      <c r="I34" s="98">
        <f t="shared" si="5"/>
        <v>0.39513655439645956</v>
      </c>
      <c r="J34" s="91">
        <f t="shared" si="1"/>
        <v>3804.5480286821512</v>
      </c>
      <c r="K34" s="25"/>
    </row>
    <row r="35" spans="1:11">
      <c r="A35" s="60">
        <v>33</v>
      </c>
      <c r="B35" s="61">
        <f t="shared" si="4"/>
        <v>9599.5532237958178</v>
      </c>
      <c r="C35" s="65">
        <f t="shared" si="3"/>
        <v>3.0000000000000001E-3</v>
      </c>
      <c r="D35" s="63">
        <f t="shared" si="0"/>
        <v>0.90099999999999991</v>
      </c>
      <c r="E35" s="64">
        <f>(B35*$M$6)/2205</f>
        <v>5920.8128727266721</v>
      </c>
      <c r="F35" s="37">
        <v>811.63802671298959</v>
      </c>
      <c r="G35" s="28">
        <f>F35*$G$3/$F$3</f>
        <v>0.7886245414121249</v>
      </c>
      <c r="H35" s="88">
        <f>F35*$M$5/1000000</f>
        <v>4934.7592024149772</v>
      </c>
      <c r="I35" s="98">
        <f t="shared" si="5"/>
        <v>0.39532368955111563</v>
      </c>
      <c r="J35" s="91">
        <f t="shared" si="1"/>
        <v>3794.9307984732691</v>
      </c>
      <c r="K35" s="25"/>
    </row>
    <row r="36" spans="1:11">
      <c r="A36" s="60">
        <v>34</v>
      </c>
      <c r="B36" s="61">
        <f t="shared" si="4"/>
        <v>9570.7545641244305</v>
      </c>
      <c r="C36" s="65">
        <f t="shared" si="3"/>
        <v>3.0000000000000001E-3</v>
      </c>
      <c r="D36" s="63">
        <f t="shared" si="0"/>
        <v>0.89799999999999991</v>
      </c>
      <c r="E36" s="64">
        <f>(B36*$M$6)/2205</f>
        <v>5903.0504341084925</v>
      </c>
      <c r="F36" s="37">
        <v>812.00162253063388</v>
      </c>
      <c r="G36" s="28">
        <f>F36*$G$3/$F$3</f>
        <v>0.78897782769925262</v>
      </c>
      <c r="H36" s="88">
        <f>F36*$M$5/1000000</f>
        <v>4936.9698649862539</v>
      </c>
      <c r="I36" s="98">
        <f t="shared" si="5"/>
        <v>0.39550078578786868</v>
      </c>
      <c r="J36" s="91">
        <f t="shared" si="1"/>
        <v>3785.240950694043</v>
      </c>
      <c r="K36" s="25"/>
    </row>
    <row r="37" spans="1:11">
      <c r="A37" s="60">
        <v>35</v>
      </c>
      <c r="B37" s="61">
        <f>B36-(B36*C37)</f>
        <v>9542.0423004320564</v>
      </c>
      <c r="C37" s="65">
        <f t="shared" si="3"/>
        <v>3.0000000000000001E-3</v>
      </c>
      <c r="D37" s="63">
        <f t="shared" si="0"/>
        <v>0.89499999999999991</v>
      </c>
      <c r="E37" s="64">
        <f>(B37*$M$6)/2205</f>
        <v>5885.3412828061664</v>
      </c>
      <c r="F37" s="37">
        <v>812.34671457139166</v>
      </c>
      <c r="G37" s="28">
        <f>F37*$G$3/$F$3</f>
        <v>0.78931313487243882</v>
      </c>
      <c r="H37" s="88">
        <f>F37*$M$5/1000000</f>
        <v>4939.0680245940612</v>
      </c>
      <c r="I37" s="98">
        <f t="shared" si="5"/>
        <v>0.39566886940925783</v>
      </c>
      <c r="J37" s="91">
        <f t="shared" si="1"/>
        <v>3775.4890888672653</v>
      </c>
      <c r="K37" s="25"/>
    </row>
    <row r="38" spans="1:11">
      <c r="A38" s="60">
        <v>36</v>
      </c>
      <c r="B38" s="61">
        <f t="shared" ref="B38:B42" si="6">B37-(B37*C38)</f>
        <v>9513.4161735307607</v>
      </c>
      <c r="C38" s="65">
        <f t="shared" si="3"/>
        <v>3.0000000000000001E-3</v>
      </c>
      <c r="D38" s="63">
        <f t="shared" si="0"/>
        <v>0.8919999999999999</v>
      </c>
      <c r="E38" s="64">
        <f>(B38*$M$6)/2205</f>
        <v>5867.6852589577475</v>
      </c>
      <c r="F38" s="37">
        <v>812.67510210166233</v>
      </c>
      <c r="G38" s="28">
        <f>F38*$G$3/$F$3</f>
        <v>0.7896322111810169</v>
      </c>
      <c r="H38" s="88">
        <f>F38*$M$5/1000000</f>
        <v>4941.0646207781065</v>
      </c>
      <c r="I38" s="98">
        <f t="shared" si="5"/>
        <v>0.39582881678209708</v>
      </c>
      <c r="J38" s="91">
        <f t="shared" si="1"/>
        <v>3765.6842675243465</v>
      </c>
      <c r="K38" s="25"/>
    </row>
    <row r="39" spans="1:11">
      <c r="A39" s="60">
        <v>37</v>
      </c>
      <c r="B39" s="61">
        <f t="shared" si="6"/>
        <v>9484.8759250101684</v>
      </c>
      <c r="C39" s="65">
        <f t="shared" si="3"/>
        <v>3.0000000000000001E-3</v>
      </c>
      <c r="D39" s="63">
        <f t="shared" si="0"/>
        <v>0.8889999999999999</v>
      </c>
      <c r="E39" s="64">
        <f>(B39*$M$6)/2205</f>
        <v>5850.0822031808748</v>
      </c>
      <c r="F39" s="37">
        <v>812.98833377632695</v>
      </c>
      <c r="G39" s="28">
        <f>F39*$G$3/$F$3</f>
        <v>0.78993656136873358</v>
      </c>
      <c r="H39" s="88">
        <f>F39*$M$5/1000000</f>
        <v>4942.9690693600687</v>
      </c>
      <c r="I39" s="98">
        <f t="shared" si="5"/>
        <v>0.39598138220810869</v>
      </c>
      <c r="J39" s="91">
        <f t="shared" si="1"/>
        <v>3755.8342788579398</v>
      </c>
      <c r="K39" s="25"/>
    </row>
    <row r="40" spans="1:11">
      <c r="A40" s="60">
        <v>38</v>
      </c>
      <c r="B40" s="61">
        <f t="shared" si="6"/>
        <v>9456.4212972351379</v>
      </c>
      <c r="C40" s="65">
        <f t="shared" si="3"/>
        <v>3.0000000000000001E-3</v>
      </c>
      <c r="D40" s="63">
        <f t="shared" si="0"/>
        <v>0.8859999999999999</v>
      </c>
      <c r="E40" s="64">
        <f>(B40*$M$6)/2205</f>
        <v>5832.5319565713326</v>
      </c>
      <c r="F40" s="37">
        <v>813.28775214848258</v>
      </c>
      <c r="G40" s="28">
        <f>F40*$G$3/$F$3</f>
        <v>0.79022748992143821</v>
      </c>
      <c r="H40" s="88">
        <f>F40*$M$5/1000000</f>
        <v>4944.7895330627734</v>
      </c>
      <c r="I40" s="98">
        <f t="shared" si="5"/>
        <v>0.39612721960323338</v>
      </c>
      <c r="J40" s="91">
        <f t="shared" si="1"/>
        <v>3745.9458758705564</v>
      </c>
      <c r="K40" s="25"/>
    </row>
    <row r="41" spans="1:11">
      <c r="A41" s="60">
        <v>39</v>
      </c>
      <c r="B41" s="61">
        <f t="shared" si="6"/>
        <v>9428.0520333434324</v>
      </c>
      <c r="C41" s="65">
        <f t="shared" si="3"/>
        <v>3.0000000000000001E-3</v>
      </c>
      <c r="D41" s="63">
        <f t="shared" si="0"/>
        <v>0.8829999999999999</v>
      </c>
      <c r="E41" s="64">
        <f>(B41*$M$6)/2205</f>
        <v>5815.0343607016175</v>
      </c>
      <c r="F41" s="37">
        <v>813.57452871332805</v>
      </c>
      <c r="G41" s="28">
        <f>F41*$G$3/$F$3</f>
        <v>0.79050613511732049</v>
      </c>
      <c r="H41" s="88">
        <f>F41*$M$5/1000000</f>
        <v>4946.5331345770346</v>
      </c>
      <c r="I41" s="98">
        <f t="shared" si="5"/>
        <v>0.3962668995664192</v>
      </c>
      <c r="J41" s="91">
        <f t="shared" si="1"/>
        <v>3736.0249482038762</v>
      </c>
      <c r="K41" s="25"/>
    </row>
    <row r="42" spans="1:11">
      <c r="A42" s="66">
        <v>40</v>
      </c>
      <c r="B42" s="67">
        <f t="shared" si="6"/>
        <v>9399.7678772434028</v>
      </c>
      <c r="C42" s="68">
        <f t="shared" si="3"/>
        <v>3.0000000000000001E-3</v>
      </c>
      <c r="D42" s="69">
        <f t="shared" si="0"/>
        <v>0.87999999999999989</v>
      </c>
      <c r="E42" s="70">
        <f>(B42*$M$6)/2205</f>
        <v>5797.5892576195138</v>
      </c>
      <c r="F42" s="39">
        <v>813.84969180416397</v>
      </c>
      <c r="G42" s="40">
        <f>F42*$G$3/$F$3</f>
        <v>0.79077349613193793</v>
      </c>
      <c r="H42" s="94">
        <f>F42*$M$5/1000000</f>
        <v>4948.206126169317</v>
      </c>
      <c r="I42" s="99">
        <f t="shared" si="5"/>
        <v>0.3964009229668975</v>
      </c>
      <c r="J42" s="100">
        <f t="shared" si="1"/>
        <v>3726.0766622138799</v>
      </c>
      <c r="K42" s="25"/>
    </row>
    <row r="43" spans="1:11">
      <c r="A43" s="71" t="s">
        <v>19</v>
      </c>
      <c r="B43" s="72">
        <f>SUM(B3:B42)</f>
        <v>398917.14212944475</v>
      </c>
      <c r="C43" s="73"/>
      <c r="D43" s="74">
        <f>AVERAGE(D3:D42)</f>
        <v>0.93850000000000089</v>
      </c>
      <c r="E43" s="75">
        <f>SUM(E3:E42)</f>
        <v>246044.13301407921</v>
      </c>
      <c r="F43" s="29"/>
      <c r="G43" s="30">
        <f>AVERAGE(G3:G42)</f>
        <v>0.7995240913014634</v>
      </c>
      <c r="H43" s="49">
        <f>SUM(H3:H42)</f>
        <v>200118.49289080253</v>
      </c>
      <c r="I43" s="98"/>
      <c r="J43" s="49">
        <f>SUM(J3:J42)</f>
        <v>160061.58540309529</v>
      </c>
      <c r="K43" s="26"/>
    </row>
    <row r="44" spans="1:11">
      <c r="C44" s="27"/>
      <c r="H44" s="50">
        <f>H43/E43</f>
        <v>0.81334389257455408</v>
      </c>
      <c r="I44" s="50"/>
      <c r="J44" s="50">
        <f>J43/E43</f>
        <v>0.65054014270657778</v>
      </c>
    </row>
    <row r="45" spans="1:11">
      <c r="C45" s="27"/>
    </row>
  </sheetData>
  <mergeCells count="4">
    <mergeCell ref="L2:M2"/>
    <mergeCell ref="A1:E1"/>
    <mergeCell ref="F1:H1"/>
    <mergeCell ref="I1:J1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842B-4A48-465B-A3EA-11FB2219943B}">
  <dimension ref="A1"/>
  <sheetViews>
    <sheetView workbookViewId="0">
      <selection activeCell="L25" sqref="L25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1B8D-E610-44EF-9CD1-749550CF76E9}">
  <dimension ref="A1:AW127"/>
  <sheetViews>
    <sheetView topLeftCell="A72" zoomScaleNormal="100" workbookViewId="0">
      <selection activeCell="C99" sqref="C99:V99"/>
    </sheetView>
  </sheetViews>
  <sheetFormatPr defaultRowHeight="15"/>
  <cols>
    <col min="1" max="1" width="15.7109375" style="2" customWidth="1"/>
    <col min="2" max="2" width="19.7109375" style="2" bestFit="1" customWidth="1"/>
    <col min="3" max="3" width="12.28515625" style="2" bestFit="1" customWidth="1"/>
    <col min="4" max="22" width="13.28515625" style="2" bestFit="1" customWidth="1"/>
    <col min="23" max="23" width="9.140625" style="2"/>
    <col min="24" max="24" width="14.28515625" style="2" bestFit="1" customWidth="1"/>
    <col min="25" max="16384" width="9.140625" style="2"/>
  </cols>
  <sheetData>
    <row r="1" spans="1:49" ht="21">
      <c r="A1" s="1" t="s">
        <v>31</v>
      </c>
    </row>
    <row r="3" spans="1:49">
      <c r="A3" s="4"/>
      <c r="B3" s="5" t="s">
        <v>32</v>
      </c>
      <c r="C3" s="5">
        <v>2026</v>
      </c>
      <c r="D3" s="5">
        <v>2027</v>
      </c>
      <c r="E3" s="5">
        <v>2028</v>
      </c>
      <c r="F3" s="5">
        <v>2029</v>
      </c>
      <c r="G3" s="5">
        <v>2030</v>
      </c>
      <c r="H3" s="5">
        <v>2031</v>
      </c>
      <c r="I3" s="5">
        <v>2032</v>
      </c>
      <c r="J3" s="5">
        <v>2033</v>
      </c>
      <c r="K3" s="5">
        <v>2034</v>
      </c>
      <c r="L3" s="5">
        <v>2035</v>
      </c>
      <c r="M3" s="5">
        <v>2036</v>
      </c>
      <c r="N3" s="5">
        <v>2037</v>
      </c>
      <c r="O3" s="5">
        <v>2038</v>
      </c>
      <c r="P3" s="5">
        <v>2039</v>
      </c>
      <c r="Q3" s="5">
        <v>2040</v>
      </c>
      <c r="R3" s="5">
        <v>2041</v>
      </c>
      <c r="S3" s="5">
        <v>2042</v>
      </c>
      <c r="T3" s="5">
        <v>2043</v>
      </c>
      <c r="U3" s="5">
        <v>2044</v>
      </c>
      <c r="V3" s="5">
        <v>2045</v>
      </c>
    </row>
    <row r="4" spans="1:49">
      <c r="A4" s="4"/>
      <c r="B4" s="6" t="s">
        <v>33</v>
      </c>
      <c r="C4" s="7">
        <v>0.46619312843516775</v>
      </c>
      <c r="D4" s="7">
        <v>0.36413790985118288</v>
      </c>
      <c r="E4" s="7">
        <v>0.34060114788492607</v>
      </c>
      <c r="F4" s="7">
        <v>0.295747832022</v>
      </c>
      <c r="G4" s="7">
        <v>0.26925230599433131</v>
      </c>
      <c r="H4" s="7">
        <v>0.30835719773011544</v>
      </c>
      <c r="I4" s="7">
        <v>0.32828779725411228</v>
      </c>
      <c r="J4" s="7">
        <v>0.35844528577314932</v>
      </c>
      <c r="K4" s="7">
        <v>0.31587420978528136</v>
      </c>
      <c r="L4" s="7">
        <v>0.31781218638572878</v>
      </c>
      <c r="M4" s="7">
        <v>0.31216760746883288</v>
      </c>
      <c r="N4" s="7">
        <v>0.31463739175072247</v>
      </c>
      <c r="O4" s="7">
        <v>0.31509824368627448</v>
      </c>
      <c r="P4" s="7">
        <v>0.31226316102525559</v>
      </c>
      <c r="Q4" s="7">
        <v>0.29433665909812123</v>
      </c>
      <c r="R4" s="7">
        <v>0.30045368934399874</v>
      </c>
      <c r="S4" s="7">
        <v>0.30846065985121207</v>
      </c>
      <c r="T4" s="7">
        <v>0.28459905597887336</v>
      </c>
      <c r="U4" s="7">
        <v>0.2881282319648743</v>
      </c>
      <c r="V4" s="7">
        <v>0.28679771696213524</v>
      </c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>
      <c r="A5" s="4"/>
      <c r="B5" s="6" t="s">
        <v>34</v>
      </c>
      <c r="C5" s="7">
        <v>0.45462785973383174</v>
      </c>
      <c r="D5" s="7">
        <v>0.45237686954018375</v>
      </c>
      <c r="E5" s="7">
        <v>0.4507546071083261</v>
      </c>
      <c r="F5" s="7">
        <v>0.44654612808249916</v>
      </c>
      <c r="G5" s="7">
        <v>0.44617007832504707</v>
      </c>
      <c r="H5" s="7">
        <v>0.446222944604796</v>
      </c>
      <c r="I5" s="7">
        <v>0.45376009545408197</v>
      </c>
      <c r="J5" s="7">
        <v>0.44685944028351143</v>
      </c>
      <c r="K5" s="7">
        <v>0.44469349331013686</v>
      </c>
      <c r="L5" s="7">
        <v>0.43614787756309892</v>
      </c>
      <c r="M5" s="7">
        <v>0.45226855678098277</v>
      </c>
      <c r="N5" s="7">
        <v>0.44283177152701209</v>
      </c>
      <c r="O5" s="7">
        <v>0.43585293898833954</v>
      </c>
      <c r="P5" s="7">
        <v>0.42580000118896971</v>
      </c>
      <c r="Q5" s="7">
        <v>0.42293536759379868</v>
      </c>
      <c r="R5" s="7"/>
      <c r="S5" s="7"/>
      <c r="T5" s="7"/>
      <c r="U5" s="7"/>
      <c r="V5" s="7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>
      <c r="A6" s="4"/>
      <c r="B6" s="6" t="s">
        <v>35</v>
      </c>
      <c r="C6" s="7">
        <v>0.66943253877989584</v>
      </c>
      <c r="D6" s="7">
        <v>0.64707823320436164</v>
      </c>
      <c r="E6" s="7">
        <v>0.62070557546227834</v>
      </c>
      <c r="F6" s="7">
        <v>0.59381070084508802</v>
      </c>
      <c r="G6" s="7">
        <v>0.54956546652913352</v>
      </c>
      <c r="H6" s="7">
        <v>0.53788809009188066</v>
      </c>
      <c r="I6" s="7">
        <v>0.51140223372792615</v>
      </c>
      <c r="J6" s="7">
        <v>0.50061922221912836</v>
      </c>
      <c r="K6" s="7">
        <v>0.50405862474140428</v>
      </c>
      <c r="L6" s="7">
        <v>0.49447390294477639</v>
      </c>
      <c r="M6" s="7">
        <v>0.46265765656946561</v>
      </c>
      <c r="N6" s="7">
        <v>0.44052452992583346</v>
      </c>
      <c r="O6" s="7">
        <v>0.42299738305233137</v>
      </c>
      <c r="P6" s="7">
        <v>0.41556217276492802</v>
      </c>
      <c r="Q6" s="7">
        <v>0.42260507219079052</v>
      </c>
      <c r="R6" s="7">
        <v>0.41881312977127783</v>
      </c>
      <c r="S6" s="7">
        <v>0.40919688113920211</v>
      </c>
      <c r="T6" s="7">
        <v>0.41124629716786237</v>
      </c>
      <c r="U6" s="7">
        <v>0.40460779904754884</v>
      </c>
      <c r="V6" s="7">
        <v>0.40225866494088303</v>
      </c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>
      <c r="A7" s="4"/>
      <c r="B7" s="6" t="s">
        <v>36</v>
      </c>
      <c r="C7" s="7">
        <v>0.4413096346329401</v>
      </c>
      <c r="D7" s="7">
        <v>0.38465790930250432</v>
      </c>
      <c r="E7" s="7">
        <v>0.32534005770523966</v>
      </c>
      <c r="F7" s="7">
        <v>0.3493045386937359</v>
      </c>
      <c r="G7" s="7">
        <v>0.34990452942146655</v>
      </c>
      <c r="H7" s="7">
        <v>0.35507759997612626</v>
      </c>
      <c r="I7" s="7">
        <v>0.34728981312434176</v>
      </c>
      <c r="J7" s="7">
        <v>0.32757337979556383</v>
      </c>
      <c r="K7" s="7">
        <v>0.32782612550934503</v>
      </c>
      <c r="L7" s="7">
        <v>0.3181530953881318</v>
      </c>
      <c r="M7" s="7">
        <v>0.29548693576896962</v>
      </c>
      <c r="N7" s="7">
        <v>0.25684536893103033</v>
      </c>
      <c r="O7" s="7">
        <v>0.24783597865686352</v>
      </c>
      <c r="P7" s="7">
        <v>0.23525777056271041</v>
      </c>
      <c r="Q7" s="7">
        <v>0.21604966286223318</v>
      </c>
      <c r="R7" s="7"/>
      <c r="S7" s="7"/>
      <c r="T7" s="7"/>
      <c r="U7" s="7"/>
      <c r="V7" s="7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>
      <c r="A8" s="4"/>
      <c r="B8" s="6" t="s">
        <v>37</v>
      </c>
      <c r="C8" s="7">
        <v>0.55504988499913832</v>
      </c>
      <c r="D8" s="7">
        <v>0.54649664688272914</v>
      </c>
      <c r="E8" s="7">
        <v>0.56853003412331038</v>
      </c>
      <c r="F8" s="7">
        <v>0.56764300333544104</v>
      </c>
      <c r="G8" s="7">
        <v>0.56900121642210066</v>
      </c>
      <c r="H8" s="7">
        <v>0.56653852411635142</v>
      </c>
      <c r="I8" s="7">
        <v>0.55429561530114446</v>
      </c>
      <c r="J8" s="7">
        <v>0.53265075930425398</v>
      </c>
      <c r="K8" s="7">
        <v>0.52106437597442223</v>
      </c>
      <c r="L8" s="7">
        <v>0.50584358772242799</v>
      </c>
      <c r="M8" s="7">
        <v>0.48790933124787855</v>
      </c>
      <c r="N8" s="7">
        <v>0.49212064967733521</v>
      </c>
      <c r="O8" s="7">
        <v>0.48020067645863296</v>
      </c>
      <c r="P8" s="7">
        <v>0.47588884507299806</v>
      </c>
      <c r="Q8" s="7">
        <v>0.48182526444728169</v>
      </c>
      <c r="R8" s="7">
        <v>0.46997063969712849</v>
      </c>
      <c r="S8" s="7">
        <v>0.47454959087463494</v>
      </c>
      <c r="T8" s="7">
        <v>0.47642399726077955</v>
      </c>
      <c r="U8" s="7">
        <v>0.47346610304100617</v>
      </c>
      <c r="V8" s="7">
        <v>0.46871210674420521</v>
      </c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>
      <c r="A9" s="4"/>
      <c r="B9" s="6" t="s">
        <v>38</v>
      </c>
      <c r="C9" s="7">
        <v>0.50559341258557844</v>
      </c>
      <c r="D9" s="7">
        <v>0.50416158189214244</v>
      </c>
      <c r="E9" s="7">
        <v>0.51044379139216967</v>
      </c>
      <c r="F9" s="7">
        <v>0.49455437389349022</v>
      </c>
      <c r="G9" s="7">
        <v>0.48806759934357807</v>
      </c>
      <c r="H9" s="7">
        <v>0.49102583722652959</v>
      </c>
      <c r="I9" s="7">
        <v>0.49691979861226127</v>
      </c>
      <c r="J9" s="7">
        <v>0.48784061415665825</v>
      </c>
      <c r="K9" s="7">
        <v>0.48966106123707398</v>
      </c>
      <c r="L9" s="7">
        <v>0.47120309217247419</v>
      </c>
      <c r="M9" s="7">
        <v>0.44896543713669235</v>
      </c>
      <c r="N9" s="7">
        <v>0.44626614787134233</v>
      </c>
      <c r="O9" s="7">
        <v>0.43630874486571597</v>
      </c>
      <c r="P9" s="7">
        <v>0.43310954157846765</v>
      </c>
      <c r="Q9" s="7">
        <v>0.41762828587366424</v>
      </c>
      <c r="R9" s="7">
        <v>0.42820084269835867</v>
      </c>
      <c r="S9" s="7">
        <v>0.41305559362333799</v>
      </c>
      <c r="T9" s="7">
        <v>0.41611699683493708</v>
      </c>
      <c r="U9" s="7">
        <v>0.41255032152586613</v>
      </c>
      <c r="V9" s="7">
        <v>0.41020184656588288</v>
      </c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>
      <c r="A10" s="4"/>
      <c r="B10" s="6" t="s">
        <v>39</v>
      </c>
      <c r="C10" s="7">
        <v>0.606609754715702</v>
      </c>
      <c r="D10" s="7">
        <v>0.59489699625539938</v>
      </c>
      <c r="E10" s="7">
        <v>0.58590099800136586</v>
      </c>
      <c r="F10" s="7">
        <v>0.54618845582704523</v>
      </c>
      <c r="G10" s="7">
        <v>0.53637742739602889</v>
      </c>
      <c r="H10" s="7">
        <v>0.53035534229100945</v>
      </c>
      <c r="I10" s="7">
        <v>0.53150006388152549</v>
      </c>
      <c r="J10" s="7">
        <v>0.53120473470868279</v>
      </c>
      <c r="K10" s="7">
        <v>0.5407036502822824</v>
      </c>
      <c r="L10" s="7">
        <v>0.53067900957287306</v>
      </c>
      <c r="M10" s="7">
        <v>0.53460952560269781</v>
      </c>
      <c r="N10" s="7">
        <v>0.53103634578008707</v>
      </c>
      <c r="O10" s="7">
        <v>0.53056836704622479</v>
      </c>
      <c r="P10" s="7">
        <v>0.53372665037091926</v>
      </c>
      <c r="Q10" s="7">
        <v>0.54163653525435784</v>
      </c>
      <c r="R10" s="7">
        <v>0.53722752663119899</v>
      </c>
      <c r="S10" s="7">
        <v>0.53900142920513783</v>
      </c>
      <c r="T10" s="7">
        <v>0.55436166269132847</v>
      </c>
      <c r="U10" s="7">
        <v>0.55522752061757952</v>
      </c>
      <c r="V10" s="7">
        <v>0.55090305487833768</v>
      </c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2" spans="1:49">
      <c r="A12" s="5" t="s">
        <v>32</v>
      </c>
      <c r="B12" s="5" t="s">
        <v>40</v>
      </c>
      <c r="C12" s="5">
        <v>2026</v>
      </c>
      <c r="D12" s="5">
        <v>2027</v>
      </c>
      <c r="E12" s="5">
        <v>2028</v>
      </c>
      <c r="F12" s="5">
        <v>2029</v>
      </c>
      <c r="G12" s="5">
        <v>2030</v>
      </c>
      <c r="H12" s="5">
        <v>2031</v>
      </c>
      <c r="I12" s="5">
        <v>2032</v>
      </c>
      <c r="J12" s="5">
        <v>2033</v>
      </c>
      <c r="K12" s="5">
        <v>2034</v>
      </c>
      <c r="L12" s="5">
        <v>2035</v>
      </c>
      <c r="M12" s="5">
        <v>2036</v>
      </c>
      <c r="N12" s="5">
        <v>2037</v>
      </c>
      <c r="O12" s="5">
        <v>2038</v>
      </c>
      <c r="P12" s="5">
        <v>2039</v>
      </c>
      <c r="Q12" s="5">
        <v>2040</v>
      </c>
      <c r="R12" s="5">
        <v>2041</v>
      </c>
      <c r="S12" s="5">
        <v>2042</v>
      </c>
      <c r="T12" s="5">
        <v>2043</v>
      </c>
      <c r="U12" s="5">
        <v>2044</v>
      </c>
      <c r="V12" s="5">
        <v>2045</v>
      </c>
    </row>
    <row r="13" spans="1:49">
      <c r="A13" s="11" t="s">
        <v>33</v>
      </c>
      <c r="B13" s="6" t="s">
        <v>41</v>
      </c>
      <c r="C13" s="9">
        <v>0.431485775884423</v>
      </c>
      <c r="D13" s="9">
        <v>0.35504870314393144</v>
      </c>
      <c r="E13" s="9">
        <v>0.36840998025708388</v>
      </c>
      <c r="F13" s="9">
        <v>0.38117592110592308</v>
      </c>
      <c r="G13" s="9">
        <v>0.39552498828821364</v>
      </c>
      <c r="H13" s="9">
        <v>0.40185414274445297</v>
      </c>
      <c r="I13" s="9">
        <v>0.41225350517794751</v>
      </c>
      <c r="J13" s="9">
        <v>0.39970475894233776</v>
      </c>
      <c r="K13" s="9">
        <v>0.36561642310693027</v>
      </c>
      <c r="L13" s="9">
        <v>0.36540712726890129</v>
      </c>
      <c r="M13" s="9">
        <v>0.37082676563469097</v>
      </c>
      <c r="N13" s="9">
        <v>0.39193805774217444</v>
      </c>
      <c r="O13" s="9">
        <v>0.38258028531553251</v>
      </c>
      <c r="P13" s="9">
        <v>0.35661707479540272</v>
      </c>
      <c r="Q13" s="9">
        <v>0.34824241010700846</v>
      </c>
      <c r="R13" s="9">
        <v>0.32566238304410583</v>
      </c>
      <c r="S13" s="9">
        <v>0.33256492849790975</v>
      </c>
      <c r="T13" s="9">
        <v>0.32014635018664461</v>
      </c>
      <c r="U13" s="9">
        <v>0.32430963791210227</v>
      </c>
      <c r="V13" s="9">
        <v>0.33444849809237515</v>
      </c>
    </row>
    <row r="14" spans="1:49">
      <c r="A14" s="11" t="s">
        <v>33</v>
      </c>
      <c r="B14" s="6" t="s">
        <v>42</v>
      </c>
      <c r="C14" s="9">
        <v>0.5222832766596891</v>
      </c>
      <c r="D14" s="9">
        <v>0.39864039522610106</v>
      </c>
      <c r="E14" s="9">
        <v>0.36676640021195722</v>
      </c>
      <c r="F14" s="9">
        <v>0.35231903727830388</v>
      </c>
      <c r="G14" s="9">
        <v>0.31167563621248284</v>
      </c>
      <c r="H14" s="9">
        <v>0.3796712931501634</v>
      </c>
      <c r="I14" s="9">
        <v>0.41139943062809398</v>
      </c>
      <c r="J14" s="9">
        <v>0.46645246668567014</v>
      </c>
      <c r="K14" s="9">
        <v>0.43229012275743484</v>
      </c>
      <c r="L14" s="9">
        <v>0.42384790824948027</v>
      </c>
      <c r="M14" s="9">
        <v>0.41714244486066987</v>
      </c>
      <c r="N14" s="9">
        <v>0.40311505165168238</v>
      </c>
      <c r="O14" s="9">
        <v>0.41146933942964531</v>
      </c>
      <c r="P14" s="9">
        <v>0.41047104383969246</v>
      </c>
      <c r="Q14" s="9">
        <v>0.37336612130119812</v>
      </c>
      <c r="R14" s="9">
        <v>0.397618699771213</v>
      </c>
      <c r="S14" s="9">
        <v>0.41321415828923491</v>
      </c>
      <c r="T14" s="9">
        <v>0.36420536945012993</v>
      </c>
      <c r="U14" s="9">
        <v>0.37561293978338006</v>
      </c>
      <c r="V14" s="9">
        <v>0.38024827913091142</v>
      </c>
    </row>
    <row r="15" spans="1:49">
      <c r="A15" s="11" t="s">
        <v>33</v>
      </c>
      <c r="B15" s="6" t="s">
        <v>43</v>
      </c>
      <c r="C15" s="9">
        <v>0.44132774600091218</v>
      </c>
      <c r="D15" s="9">
        <v>0.34009806046037033</v>
      </c>
      <c r="E15" s="9">
        <v>0.30267179306799818</v>
      </c>
      <c r="F15" s="9">
        <v>0.18684943001013307</v>
      </c>
      <c r="G15" s="9">
        <v>0.11740517877081973</v>
      </c>
      <c r="H15" s="9">
        <v>0.27332056009893729</v>
      </c>
      <c r="I15" s="9">
        <v>0.30631946172047747</v>
      </c>
      <c r="J15" s="9">
        <v>0.34290840067574496</v>
      </c>
      <c r="K15" s="9">
        <v>0.25027621525641219</v>
      </c>
      <c r="L15" s="9">
        <v>0.24344039990192984</v>
      </c>
      <c r="M15" s="9">
        <v>0.23564468559635993</v>
      </c>
      <c r="N15" s="9">
        <v>0.23573702367018948</v>
      </c>
      <c r="O15" s="9">
        <v>0.22468123315848376</v>
      </c>
      <c r="P15" s="9">
        <v>0.22755505618705513</v>
      </c>
      <c r="Q15" s="9">
        <v>0.21396574701199014</v>
      </c>
      <c r="R15" s="9">
        <v>0.20684246451703159</v>
      </c>
      <c r="S15" s="9">
        <v>0.20555482922731177</v>
      </c>
      <c r="T15" s="9">
        <v>0.2051693689001437</v>
      </c>
      <c r="U15" s="9">
        <v>0.21016226138579991</v>
      </c>
      <c r="V15" s="9">
        <v>0.20287366433726953</v>
      </c>
    </row>
    <row r="16" spans="1:49">
      <c r="A16" s="11" t="s">
        <v>33</v>
      </c>
      <c r="B16" s="6" t="s">
        <v>44</v>
      </c>
      <c r="C16" s="9">
        <v>0.46192252151623731</v>
      </c>
      <c r="D16" s="9">
        <v>0.33986538686192752</v>
      </c>
      <c r="E16" s="9">
        <v>0.30859321393729883</v>
      </c>
      <c r="F16" s="9">
        <v>0.32042615602225077</v>
      </c>
      <c r="G16" s="9">
        <v>0.40071388637934552</v>
      </c>
      <c r="H16" s="9">
        <v>0.18163489285560241</v>
      </c>
      <c r="I16" s="9">
        <v>0.17190715677950016</v>
      </c>
      <c r="J16" s="9">
        <v>0.20525509478225312</v>
      </c>
      <c r="K16" s="9">
        <v>0.24903822037816203</v>
      </c>
      <c r="L16" s="9">
        <v>0.247017748000015</v>
      </c>
      <c r="M16" s="9">
        <v>0.21256684679529844</v>
      </c>
      <c r="N16" s="9">
        <v>0.21422740984822963</v>
      </c>
      <c r="O16" s="9">
        <v>0.23019367987322287</v>
      </c>
      <c r="P16" s="9">
        <v>0.22765282578546994</v>
      </c>
      <c r="Q16" s="9">
        <v>0.21908509202703369</v>
      </c>
      <c r="R16" s="9">
        <v>0.26227829443252315</v>
      </c>
      <c r="S16" s="9">
        <v>0.29493955563231294</v>
      </c>
      <c r="T16" s="9">
        <v>0.19992938796969303</v>
      </c>
      <c r="U16" s="9">
        <v>0.20828938584534418</v>
      </c>
      <c r="V16" s="9">
        <v>0.20485703658789023</v>
      </c>
    </row>
    <row r="17" spans="1:22">
      <c r="A17" s="11" t="s">
        <v>33</v>
      </c>
      <c r="B17" s="6" t="s">
        <v>45</v>
      </c>
      <c r="C17" s="9">
        <v>0.49533578355972296</v>
      </c>
      <c r="D17" s="9">
        <v>0.37021882692307367</v>
      </c>
      <c r="E17" s="9">
        <v>0.34381006861190694</v>
      </c>
      <c r="F17" s="9">
        <v>0.33052472559414936</v>
      </c>
      <c r="G17" s="9">
        <v>0.29207523172518829</v>
      </c>
      <c r="H17" s="9">
        <v>0.35639701261620965</v>
      </c>
      <c r="I17" s="9">
        <v>0.38952988215917761</v>
      </c>
      <c r="J17" s="9">
        <v>0.43834862548602854</v>
      </c>
      <c r="K17" s="9">
        <v>0.41731229836541489</v>
      </c>
      <c r="L17" s="9">
        <v>0.4146415084198834</v>
      </c>
      <c r="M17" s="9">
        <v>0.40366357175636919</v>
      </c>
      <c r="N17" s="9">
        <v>0.40133503019943212</v>
      </c>
      <c r="O17" s="9">
        <v>0.42279257115909319</v>
      </c>
      <c r="P17" s="9">
        <v>0.44088784278405785</v>
      </c>
      <c r="Q17" s="9">
        <v>0.39273005224335211</v>
      </c>
      <c r="R17" s="9">
        <v>0.43613218332995651</v>
      </c>
      <c r="S17" s="9">
        <v>0.46883020249725404</v>
      </c>
      <c r="T17" s="9">
        <v>0.41205923129199057</v>
      </c>
      <c r="U17" s="9">
        <v>0.43148578052252001</v>
      </c>
      <c r="V17" s="9">
        <v>0.42015092623920969</v>
      </c>
    </row>
    <row r="18" spans="1:22">
      <c r="A18" s="11" t="s">
        <v>33</v>
      </c>
      <c r="B18" s="6" t="s">
        <v>46</v>
      </c>
      <c r="C18" s="9">
        <v>0.50862961646404203</v>
      </c>
      <c r="D18" s="9">
        <v>0.44565467458959496</v>
      </c>
      <c r="E18" s="9">
        <v>0.42406066051296981</v>
      </c>
      <c r="F18" s="9">
        <v>0.44423775830644163</v>
      </c>
      <c r="G18" s="9">
        <v>0.44994960407935064</v>
      </c>
      <c r="H18" s="9">
        <v>0.46550076380502675</v>
      </c>
      <c r="I18" s="9">
        <v>0.46738397487564964</v>
      </c>
      <c r="J18" s="9">
        <v>0.49648971177533374</v>
      </c>
      <c r="K18" s="9">
        <v>0.46596896292622009</v>
      </c>
      <c r="L18" s="9">
        <v>0.46588460933418024</v>
      </c>
      <c r="M18" s="9">
        <v>0.47802204464018566</v>
      </c>
      <c r="N18" s="9">
        <v>0.47629425777328749</v>
      </c>
      <c r="O18" s="9">
        <v>0.48083519050614576</v>
      </c>
      <c r="P18" s="9">
        <v>0.44262671879936566</v>
      </c>
      <c r="Q18" s="9">
        <v>0.42635165164411426</v>
      </c>
      <c r="R18" s="9">
        <v>0.45087137067011257</v>
      </c>
      <c r="S18" s="9">
        <v>0.44646076240151983</v>
      </c>
      <c r="T18" s="9">
        <v>0.43606870777007667</v>
      </c>
      <c r="U18" s="9">
        <v>0.41419281098940786</v>
      </c>
      <c r="V18" s="9">
        <v>0.41817416102069821</v>
      </c>
    </row>
    <row r="19" spans="1:22">
      <c r="A19" s="11" t="s">
        <v>33</v>
      </c>
      <c r="B19" s="6" t="s">
        <v>47</v>
      </c>
      <c r="C19" s="9">
        <v>0.45378975518959425</v>
      </c>
      <c r="D19" s="9">
        <v>0.38261887924952481</v>
      </c>
      <c r="E19" s="9">
        <v>0.39291014243449335</v>
      </c>
      <c r="F19" s="9">
        <v>0.37083415829051886</v>
      </c>
      <c r="G19" s="9">
        <v>0.35577439241529846</v>
      </c>
      <c r="H19" s="9">
        <v>0.32026717055523612</v>
      </c>
      <c r="I19" s="9">
        <v>0.32642024025633481</v>
      </c>
      <c r="J19" s="9">
        <v>0.33667370316302625</v>
      </c>
      <c r="K19" s="9">
        <v>0.33091541848773232</v>
      </c>
      <c r="L19" s="9">
        <v>0.32814583125882002</v>
      </c>
      <c r="M19" s="9">
        <v>0.33846954662125611</v>
      </c>
      <c r="N19" s="9">
        <v>0.33123365225537871</v>
      </c>
      <c r="O19" s="9">
        <v>0.3083793282300738</v>
      </c>
      <c r="P19" s="9">
        <v>0.28406076133931912</v>
      </c>
      <c r="Q19" s="9">
        <v>0.25870884296199004</v>
      </c>
      <c r="R19" s="9">
        <v>0.24370743594245625</v>
      </c>
      <c r="S19" s="9">
        <v>0.20512450108302957</v>
      </c>
      <c r="T19" s="9">
        <v>0.21327583557490978</v>
      </c>
      <c r="U19" s="9">
        <v>0.19780991062249045</v>
      </c>
      <c r="V19" s="9">
        <v>0.19773626556832233</v>
      </c>
    </row>
    <row r="20" spans="1:22">
      <c r="A20" s="13" t="s">
        <v>33</v>
      </c>
      <c r="B20" s="14" t="s">
        <v>48</v>
      </c>
      <c r="C20" s="15">
        <v>0.46199313027773464</v>
      </c>
      <c r="D20" s="15">
        <v>0.35338729816504477</v>
      </c>
      <c r="E20" s="15">
        <v>0.30093723783095616</v>
      </c>
      <c r="F20" s="15">
        <v>0.21493538492167166</v>
      </c>
      <c r="G20" s="15">
        <v>0.19674587061652485</v>
      </c>
      <c r="H20" s="15">
        <v>0.29495209419920088</v>
      </c>
      <c r="I20" s="15">
        <v>0.32025209840207641</v>
      </c>
      <c r="J20" s="15">
        <v>0.35449357132850606</v>
      </c>
      <c r="K20" s="15">
        <v>0.27361623523382861</v>
      </c>
      <c r="L20" s="15">
        <v>0.26891402515798202</v>
      </c>
      <c r="M20" s="15">
        <v>0.24598944630261346</v>
      </c>
      <c r="N20" s="15">
        <v>0.24261621484542967</v>
      </c>
      <c r="O20" s="15">
        <v>0.24201857572374141</v>
      </c>
      <c r="P20" s="15">
        <v>0.23752214124631774</v>
      </c>
      <c r="Q20" s="15">
        <v>0.22646815834668996</v>
      </c>
      <c r="R20" s="15">
        <v>0.21952905966351838</v>
      </c>
      <c r="S20" s="15">
        <v>0.21631253820444948</v>
      </c>
      <c r="T20" s="15">
        <v>0.2132452420457274</v>
      </c>
      <c r="U20" s="15">
        <v>0.21689057327917927</v>
      </c>
      <c r="V20" s="15">
        <v>0.22551206518469</v>
      </c>
    </row>
    <row r="21" spans="1:22">
      <c r="A21" s="11" t="s">
        <v>34</v>
      </c>
      <c r="B21" s="6" t="s">
        <v>49</v>
      </c>
      <c r="C21" s="9">
        <v>0.45065407104204314</v>
      </c>
      <c r="D21" s="9">
        <v>0.44881732511730221</v>
      </c>
      <c r="E21" s="9">
        <v>0.44969864637346652</v>
      </c>
      <c r="F21" s="9">
        <v>0.45142708471745818</v>
      </c>
      <c r="G21" s="9">
        <v>0.44807103385939095</v>
      </c>
      <c r="H21" s="9">
        <v>0.44797245970274263</v>
      </c>
      <c r="I21" s="9">
        <v>0.4515840220668374</v>
      </c>
      <c r="J21" s="9">
        <v>0.44746247311376103</v>
      </c>
      <c r="K21" s="9">
        <v>0.44598391734138476</v>
      </c>
      <c r="L21" s="9">
        <v>0.43967286242366577</v>
      </c>
      <c r="M21" s="9">
        <v>0.45591560268932707</v>
      </c>
      <c r="N21" s="9">
        <v>0.44356299269303784</v>
      </c>
      <c r="O21" s="9">
        <v>0.4401639237356702</v>
      </c>
      <c r="P21" s="9">
        <v>0.427883909402341</v>
      </c>
      <c r="Q21" s="9">
        <v>0.42883134434341469</v>
      </c>
      <c r="R21" s="9"/>
      <c r="S21" s="9"/>
      <c r="T21" s="9"/>
      <c r="U21" s="9"/>
      <c r="V21" s="9"/>
    </row>
    <row r="22" spans="1:22">
      <c r="A22" s="11" t="s">
        <v>34</v>
      </c>
      <c r="B22" s="6" t="s">
        <v>50</v>
      </c>
      <c r="C22" s="9">
        <v>0.44833726505731036</v>
      </c>
      <c r="D22" s="9">
        <v>0.44344264810709866</v>
      </c>
      <c r="E22" s="9">
        <v>0.44084992270903872</v>
      </c>
      <c r="F22" s="9">
        <v>0.42175003049748594</v>
      </c>
      <c r="G22" s="9">
        <v>0.42318964292797095</v>
      </c>
      <c r="H22" s="9">
        <v>0.42425125350631115</v>
      </c>
      <c r="I22" s="9">
        <v>0.42768460218830168</v>
      </c>
      <c r="J22" s="9">
        <v>0.41772945542388301</v>
      </c>
      <c r="K22" s="9">
        <v>0.43056364255995511</v>
      </c>
      <c r="L22" s="9">
        <v>0.4012011177786956</v>
      </c>
      <c r="M22" s="9">
        <v>0.40617365579522258</v>
      </c>
      <c r="N22" s="9">
        <v>0.40338488277069684</v>
      </c>
      <c r="O22" s="9">
        <v>0.40166557078525078</v>
      </c>
      <c r="P22" s="9">
        <v>0.39570817056321705</v>
      </c>
      <c r="Q22" s="9">
        <v>0.36374789040276101</v>
      </c>
      <c r="R22" s="9"/>
      <c r="S22" s="9"/>
      <c r="T22" s="9"/>
      <c r="U22" s="9"/>
      <c r="V22" s="9"/>
    </row>
    <row r="23" spans="1:22">
      <c r="A23" s="11" t="s">
        <v>34</v>
      </c>
      <c r="B23" s="6" t="s">
        <v>51</v>
      </c>
      <c r="C23" s="9">
        <v>0.44958872461039645</v>
      </c>
      <c r="D23" s="9">
        <v>0.45427550212483814</v>
      </c>
      <c r="E23" s="9">
        <v>0.45039332032201407</v>
      </c>
      <c r="F23" s="9">
        <v>0.44738137081532775</v>
      </c>
      <c r="G23" s="9">
        <v>0.44867092871920972</v>
      </c>
      <c r="H23" s="9">
        <v>0.44921451997600714</v>
      </c>
      <c r="I23" s="9">
        <v>0.45378187519506591</v>
      </c>
      <c r="J23" s="9">
        <v>0.44813202315044964</v>
      </c>
      <c r="K23" s="9">
        <v>0.44482717710300923</v>
      </c>
      <c r="L23" s="9">
        <v>0.42832387656116361</v>
      </c>
      <c r="M23" s="9">
        <v>0.44030345909530361</v>
      </c>
      <c r="N23" s="9">
        <v>0.43597487112077787</v>
      </c>
      <c r="O23" s="9">
        <v>0.4291195357884498</v>
      </c>
      <c r="P23" s="9">
        <v>0.4183913296116174</v>
      </c>
      <c r="Q23" s="9">
        <v>0.41520813765480374</v>
      </c>
      <c r="R23" s="9"/>
      <c r="S23" s="9"/>
      <c r="T23" s="9"/>
      <c r="U23" s="9"/>
      <c r="V23" s="9"/>
    </row>
    <row r="24" spans="1:22">
      <c r="A24" s="11" t="s">
        <v>34</v>
      </c>
      <c r="B24" s="6" t="s">
        <v>52</v>
      </c>
      <c r="C24" s="9">
        <v>0.46230153300760424</v>
      </c>
      <c r="D24" s="9">
        <v>0.46153533622164611</v>
      </c>
      <c r="E24" s="9">
        <v>0.45798124317480171</v>
      </c>
      <c r="F24" s="9">
        <v>0.45585567147389877</v>
      </c>
      <c r="G24" s="9">
        <v>0.45679794147054181</v>
      </c>
      <c r="H24" s="9">
        <v>0.45549725775383609</v>
      </c>
      <c r="I24" s="9">
        <v>0.46526668394858844</v>
      </c>
      <c r="J24" s="9">
        <v>0.45779703794203269</v>
      </c>
      <c r="K24" s="9">
        <v>0.45175179301502527</v>
      </c>
      <c r="L24" s="9">
        <v>0.4506446766530558</v>
      </c>
      <c r="M24" s="9">
        <v>0.47463111237620093</v>
      </c>
      <c r="N24" s="9">
        <v>0.4638902311695508</v>
      </c>
      <c r="O24" s="9">
        <v>0.44949135055646922</v>
      </c>
      <c r="P24" s="9">
        <v>0.43945785821803623</v>
      </c>
      <c r="Q24" s="9">
        <v>0.44432225230567735</v>
      </c>
      <c r="R24" s="9"/>
      <c r="S24" s="9"/>
      <c r="T24" s="9"/>
      <c r="U24" s="9"/>
      <c r="V24" s="9"/>
    </row>
    <row r="25" spans="1:22">
      <c r="A25" s="11" t="s">
        <v>34</v>
      </c>
      <c r="B25" s="6" t="s">
        <v>53</v>
      </c>
      <c r="C25" s="9">
        <v>0.45963308614499887</v>
      </c>
      <c r="D25" s="9">
        <v>0.45675613424315509</v>
      </c>
      <c r="E25" s="9">
        <v>0.45392091662017692</v>
      </c>
      <c r="F25" s="9">
        <v>0.45311757781538192</v>
      </c>
      <c r="G25" s="9">
        <v>0.45249235371999041</v>
      </c>
      <c r="H25" s="9">
        <v>0.45176074557720247</v>
      </c>
      <c r="I25" s="9">
        <v>0.45730502802255063</v>
      </c>
      <c r="J25" s="9">
        <v>0.45434223556935566</v>
      </c>
      <c r="K25" s="9">
        <v>0.44581769929272541</v>
      </c>
      <c r="L25" s="9">
        <v>0.4411450551516406</v>
      </c>
      <c r="M25" s="9">
        <v>0.45861244189911982</v>
      </c>
      <c r="N25" s="9">
        <v>0.44915351857150032</v>
      </c>
      <c r="O25" s="9">
        <v>0.43500822953921808</v>
      </c>
      <c r="P25" s="9">
        <v>0.42554105392368669</v>
      </c>
      <c r="Q25" s="9">
        <v>0.4174604759845002</v>
      </c>
      <c r="R25" s="9"/>
      <c r="S25" s="9"/>
      <c r="T25" s="9"/>
      <c r="U25" s="9"/>
      <c r="V25" s="9"/>
    </row>
    <row r="26" spans="1:22">
      <c r="A26" s="11" t="s">
        <v>34</v>
      </c>
      <c r="B26" s="6" t="s">
        <v>54</v>
      </c>
      <c r="C26" s="9">
        <v>0.46087258096496381</v>
      </c>
      <c r="D26" s="9">
        <v>0.46032725235659222</v>
      </c>
      <c r="E26" s="9">
        <v>0.45663562376501121</v>
      </c>
      <c r="F26" s="9">
        <v>0.45713539205945003</v>
      </c>
      <c r="G26" s="9">
        <v>0.45585714864428256</v>
      </c>
      <c r="H26" s="9">
        <v>0.45719609858515087</v>
      </c>
      <c r="I26" s="9">
        <v>0.46138366769640438</v>
      </c>
      <c r="J26" s="9">
        <v>0.45644499480586986</v>
      </c>
      <c r="K26" s="9">
        <v>0.44784512630928192</v>
      </c>
      <c r="L26" s="9">
        <v>0.44401581098083809</v>
      </c>
      <c r="M26" s="9">
        <v>0.45853264893658674</v>
      </c>
      <c r="N26" s="9">
        <v>0.45218178950087196</v>
      </c>
      <c r="O26" s="9">
        <v>0.44025792069891945</v>
      </c>
      <c r="P26" s="9">
        <v>0.43460138089986095</v>
      </c>
      <c r="Q26" s="9">
        <v>0.42545434129630511</v>
      </c>
      <c r="R26" s="9"/>
      <c r="S26" s="9"/>
      <c r="T26" s="9"/>
      <c r="U26" s="9"/>
      <c r="V26" s="9"/>
    </row>
    <row r="27" spans="1:22">
      <c r="A27" s="11" t="s">
        <v>34</v>
      </c>
      <c r="B27" s="6" t="s">
        <v>55</v>
      </c>
      <c r="C27" s="9">
        <v>0.45774660384815952</v>
      </c>
      <c r="D27" s="9">
        <v>0.44970922975866734</v>
      </c>
      <c r="E27" s="9">
        <v>0.44974894074194161</v>
      </c>
      <c r="F27" s="9">
        <v>0.45297091940073397</v>
      </c>
      <c r="G27" s="9">
        <v>0.44414450000368572</v>
      </c>
      <c r="H27" s="9">
        <v>0.44468629142816024</v>
      </c>
      <c r="I27" s="9">
        <v>0.46475865601791333</v>
      </c>
      <c r="J27" s="9">
        <v>0.45509654656248161</v>
      </c>
      <c r="K27" s="9">
        <v>0.4558509733382205</v>
      </c>
      <c r="L27" s="9">
        <v>0.44498120344626535</v>
      </c>
      <c r="M27" s="9">
        <v>0.44360930201796916</v>
      </c>
      <c r="N27" s="9">
        <v>0.44930325123457565</v>
      </c>
      <c r="O27" s="9">
        <v>0.44049139437829843</v>
      </c>
      <c r="P27" s="9">
        <v>0.42274592763375918</v>
      </c>
      <c r="Q27" s="9">
        <v>0.42650112342565183</v>
      </c>
      <c r="R27" s="9"/>
      <c r="S27" s="9"/>
      <c r="T27" s="9"/>
      <c r="U27" s="9"/>
      <c r="V27" s="9"/>
    </row>
    <row r="28" spans="1:22">
      <c r="A28" s="13" t="s">
        <v>34</v>
      </c>
      <c r="B28" s="14" t="s">
        <v>56</v>
      </c>
      <c r="C28" s="15">
        <v>0.45815214833284906</v>
      </c>
      <c r="D28" s="15">
        <v>0.45530482751314039</v>
      </c>
      <c r="E28" s="15">
        <v>0.45303727247419717</v>
      </c>
      <c r="F28" s="15">
        <v>0.45036429732479388</v>
      </c>
      <c r="G28" s="15">
        <v>0.45042949436206831</v>
      </c>
      <c r="H28" s="15">
        <v>0.45029931545917379</v>
      </c>
      <c r="I28" s="15">
        <v>0.46532256741091582</v>
      </c>
      <c r="J28" s="15">
        <v>0.45474926404607557</v>
      </c>
      <c r="K28" s="15">
        <v>0.4473964361493365</v>
      </c>
      <c r="L28" s="15">
        <v>0.44059994850483442</v>
      </c>
      <c r="M28" s="15">
        <v>0.45735115061189091</v>
      </c>
      <c r="N28" s="15">
        <v>0.44961059163404993</v>
      </c>
      <c r="O28" s="15">
        <v>0.43681465024197041</v>
      </c>
      <c r="P28" s="15">
        <v>0.42312873335105106</v>
      </c>
      <c r="Q28" s="15">
        <v>0.41985675042829357</v>
      </c>
      <c r="R28" s="15"/>
      <c r="S28" s="15"/>
      <c r="T28" s="15"/>
      <c r="U28" s="15"/>
      <c r="V28" s="15"/>
    </row>
    <row r="29" spans="1:22">
      <c r="A29" s="11" t="s">
        <v>35</v>
      </c>
      <c r="B29" s="6" t="s">
        <v>57</v>
      </c>
      <c r="C29" s="9">
        <v>0.69594975090533961</v>
      </c>
      <c r="D29" s="9">
        <v>0.68938197042907201</v>
      </c>
      <c r="E29" s="9">
        <v>0.66848821074595666</v>
      </c>
      <c r="F29" s="9">
        <v>0.63559419579109799</v>
      </c>
      <c r="G29" s="9">
        <v>0.59511321067725753</v>
      </c>
      <c r="H29" s="9">
        <v>0.62308652563886846</v>
      </c>
      <c r="I29" s="9">
        <v>0.62283022374684471</v>
      </c>
      <c r="J29" s="9">
        <v>0.59955425202086488</v>
      </c>
      <c r="K29" s="9">
        <v>0.6091135408868128</v>
      </c>
      <c r="L29" s="9">
        <v>0.5871773435281008</v>
      </c>
      <c r="M29" s="9">
        <v>0.54155711897132863</v>
      </c>
      <c r="N29" s="9">
        <v>0.51275701886817093</v>
      </c>
      <c r="O29" s="9">
        <v>0.49836625094725495</v>
      </c>
      <c r="P29" s="9">
        <v>0.50600047071318077</v>
      </c>
      <c r="Q29" s="9">
        <v>0.50053107426275445</v>
      </c>
      <c r="R29" s="9">
        <v>0.47412183364196997</v>
      </c>
      <c r="S29" s="9">
        <v>0.46759412547930285</v>
      </c>
      <c r="T29" s="9">
        <v>0.46015123987583889</v>
      </c>
      <c r="U29" s="9">
        <v>0.44405303819805142</v>
      </c>
      <c r="V29" s="9">
        <v>0.43804853031973068</v>
      </c>
    </row>
    <row r="30" spans="1:22">
      <c r="A30" s="11" t="s">
        <v>35</v>
      </c>
      <c r="B30" s="6" t="s">
        <v>58</v>
      </c>
      <c r="C30" s="9">
        <v>0.69749609348019892</v>
      </c>
      <c r="D30" s="9">
        <v>0.68062443106504444</v>
      </c>
      <c r="E30" s="9">
        <v>0.65496457345626402</v>
      </c>
      <c r="F30" s="9">
        <v>0.61582548785087421</v>
      </c>
      <c r="G30" s="9">
        <v>0.59061910133250894</v>
      </c>
      <c r="H30" s="9">
        <v>0.6070554508174778</v>
      </c>
      <c r="I30" s="9">
        <v>0.60051928005980781</v>
      </c>
      <c r="J30" s="9">
        <v>0.59929167404615713</v>
      </c>
      <c r="K30" s="9">
        <v>0.59363083359308944</v>
      </c>
      <c r="L30" s="9">
        <v>0.58187728635591252</v>
      </c>
      <c r="M30" s="9">
        <v>0.53269760508407582</v>
      </c>
      <c r="N30" s="9">
        <v>0.51383996062485637</v>
      </c>
      <c r="O30" s="9">
        <v>0.48576769524281616</v>
      </c>
      <c r="P30" s="9">
        <v>0.49938691362461185</v>
      </c>
      <c r="Q30" s="9">
        <v>0.48785213100521535</v>
      </c>
      <c r="R30" s="9">
        <v>0.48192141388518034</v>
      </c>
      <c r="S30" s="9">
        <v>0.45558447435604499</v>
      </c>
      <c r="T30" s="9">
        <v>0.45271237008326898</v>
      </c>
      <c r="U30" s="9">
        <v>0.44762012323594558</v>
      </c>
      <c r="V30" s="9">
        <v>0.43762655474730527</v>
      </c>
    </row>
    <row r="31" spans="1:22">
      <c r="A31" s="11" t="s">
        <v>35</v>
      </c>
      <c r="B31" s="6" t="s">
        <v>59</v>
      </c>
      <c r="C31" s="9">
        <v>0.71789988747956202</v>
      </c>
      <c r="D31" s="9">
        <v>0.69101808087639072</v>
      </c>
      <c r="E31" s="9">
        <v>0.66496155414098834</v>
      </c>
      <c r="F31" s="9">
        <v>0.63495474471890379</v>
      </c>
      <c r="G31" s="9">
        <v>0.58833308798132689</v>
      </c>
      <c r="H31" s="9">
        <v>0.6052073912758813</v>
      </c>
      <c r="I31" s="9">
        <v>0.59694894818200273</v>
      </c>
      <c r="J31" s="9">
        <v>0.59713879948282877</v>
      </c>
      <c r="K31" s="9">
        <v>0.58190939558594446</v>
      </c>
      <c r="L31" s="9">
        <v>0.57918322531214517</v>
      </c>
      <c r="M31" s="9">
        <v>0.5147970641930566</v>
      </c>
      <c r="N31" s="9">
        <v>0.50011634779694958</v>
      </c>
      <c r="O31" s="9">
        <v>0.46875360464110527</v>
      </c>
      <c r="P31" s="9">
        <v>0.46820977973064709</v>
      </c>
      <c r="Q31" s="9">
        <v>0.46448712870684405</v>
      </c>
      <c r="R31" s="9">
        <v>0.45671541958589446</v>
      </c>
      <c r="S31" s="9">
        <v>0.44130284821796978</v>
      </c>
      <c r="T31" s="9">
        <v>0.45147166595214311</v>
      </c>
      <c r="U31" s="9">
        <v>0.42318438947081372</v>
      </c>
      <c r="V31" s="9">
        <v>0.4216295094161247</v>
      </c>
    </row>
    <row r="32" spans="1:22">
      <c r="A32" s="11" t="s">
        <v>35</v>
      </c>
      <c r="B32" s="6" t="s">
        <v>60</v>
      </c>
      <c r="C32" s="9">
        <v>0.7197234532200808</v>
      </c>
      <c r="D32" s="9">
        <v>0.70313922849017352</v>
      </c>
      <c r="E32" s="9">
        <v>0.673437696153252</v>
      </c>
      <c r="F32" s="9">
        <v>0.63367133804460807</v>
      </c>
      <c r="G32" s="9">
        <v>0.59267855996259267</v>
      </c>
      <c r="H32" s="9">
        <v>0.60168503279863761</v>
      </c>
      <c r="I32" s="9">
        <v>0.60155499953790981</v>
      </c>
      <c r="J32" s="9">
        <v>0.60731802821193237</v>
      </c>
      <c r="K32" s="9">
        <v>0.57159766912749621</v>
      </c>
      <c r="L32" s="9">
        <v>0.57375264095634015</v>
      </c>
      <c r="M32" s="9">
        <v>0.50236837977508031</v>
      </c>
      <c r="N32" s="9">
        <v>0.48921698094855565</v>
      </c>
      <c r="O32" s="9">
        <v>0.46913187950655938</v>
      </c>
      <c r="P32" s="9">
        <v>0.46571005025072343</v>
      </c>
      <c r="Q32" s="9">
        <v>0.45712649799805782</v>
      </c>
      <c r="R32" s="9">
        <v>0.44241758914577933</v>
      </c>
      <c r="S32" s="9">
        <v>0.4372477008528971</v>
      </c>
      <c r="T32" s="9">
        <v>0.44836783214284121</v>
      </c>
      <c r="U32" s="9">
        <v>0.4285797936521486</v>
      </c>
      <c r="V32" s="9">
        <v>0.41308484095350284</v>
      </c>
    </row>
    <row r="33" spans="1:22">
      <c r="A33" s="11" t="s">
        <v>35</v>
      </c>
      <c r="B33" s="6" t="s">
        <v>61</v>
      </c>
      <c r="C33" s="9">
        <v>0.72975544650055868</v>
      </c>
      <c r="D33" s="9">
        <v>0.68719410788339963</v>
      </c>
      <c r="E33" s="9">
        <v>0.6807771258572195</v>
      </c>
      <c r="F33" s="9">
        <v>0.66626900011611989</v>
      </c>
      <c r="G33" s="9">
        <v>0.62631620624485185</v>
      </c>
      <c r="H33" s="9">
        <v>0.64813347710423741</v>
      </c>
      <c r="I33" s="9">
        <v>0.64503955498540066</v>
      </c>
      <c r="J33" s="9">
        <v>0.62672627604113806</v>
      </c>
      <c r="K33" s="9">
        <v>0.60851655477222544</v>
      </c>
      <c r="L33" s="9">
        <v>0.59456899778501937</v>
      </c>
      <c r="M33" s="9">
        <v>0.54325317844746335</v>
      </c>
      <c r="N33" s="9">
        <v>0.51168698751600927</v>
      </c>
      <c r="O33" s="9">
        <v>0.48200669965420423</v>
      </c>
      <c r="P33" s="9">
        <v>0.45569496339652393</v>
      </c>
      <c r="Q33" s="9">
        <v>0.46867907917054069</v>
      </c>
      <c r="R33" s="9">
        <v>0.47074025652382973</v>
      </c>
      <c r="S33" s="9">
        <v>0.4400955646381095</v>
      </c>
      <c r="T33" s="9">
        <v>0.43703281301182462</v>
      </c>
      <c r="U33" s="9">
        <v>0.43410340229439498</v>
      </c>
      <c r="V33" s="9">
        <v>0.43233908839192492</v>
      </c>
    </row>
    <row r="34" spans="1:22">
      <c r="A34" s="11" t="s">
        <v>35</v>
      </c>
      <c r="B34" s="6" t="s">
        <v>62</v>
      </c>
      <c r="C34" s="9">
        <v>0.49599535836551789</v>
      </c>
      <c r="D34" s="9">
        <v>0.50248963180983697</v>
      </c>
      <c r="E34" s="9">
        <v>0.48933672147377594</v>
      </c>
      <c r="F34" s="9">
        <v>0.45709767614367619</v>
      </c>
      <c r="G34" s="9">
        <v>0.44479004403934269</v>
      </c>
      <c r="H34" s="9">
        <v>0.46313858384474121</v>
      </c>
      <c r="I34" s="9">
        <v>0.42552621011739</v>
      </c>
      <c r="J34" s="9">
        <v>0.38775597474473172</v>
      </c>
      <c r="K34" s="9">
        <v>0.40617763330068657</v>
      </c>
      <c r="L34" s="9">
        <v>0.39292914600545753</v>
      </c>
      <c r="M34" s="9">
        <v>0.39290253375385392</v>
      </c>
      <c r="N34" s="9">
        <v>0.386477066112562</v>
      </c>
      <c r="O34" s="9">
        <v>0.36455945994322758</v>
      </c>
      <c r="P34" s="9">
        <v>0.38621135055218236</v>
      </c>
      <c r="Q34" s="9">
        <v>0.39628971077106639</v>
      </c>
      <c r="R34" s="9">
        <v>0.40558265781613889</v>
      </c>
      <c r="S34" s="9">
        <v>0.39848346015845287</v>
      </c>
      <c r="T34" s="9">
        <v>0.39393708747286316</v>
      </c>
      <c r="U34" s="9">
        <v>0.40021775827723916</v>
      </c>
      <c r="V34" s="9">
        <v>0.40272287690912584</v>
      </c>
    </row>
    <row r="35" spans="1:22">
      <c r="A35" s="11" t="s">
        <v>35</v>
      </c>
      <c r="B35" s="6" t="s">
        <v>63</v>
      </c>
      <c r="C35" s="9">
        <v>0.73209519295379866</v>
      </c>
      <c r="D35" s="9">
        <v>0.7024658890364609</v>
      </c>
      <c r="E35" s="9">
        <v>0.6796069701283638</v>
      </c>
      <c r="F35" s="9">
        <v>0.64825992002107424</v>
      </c>
      <c r="G35" s="9">
        <v>0.61286049034213619</v>
      </c>
      <c r="H35" s="9">
        <v>0.64378056713204113</v>
      </c>
      <c r="I35" s="9">
        <v>0.63366793083536233</v>
      </c>
      <c r="J35" s="9">
        <v>0.62343876675713605</v>
      </c>
      <c r="K35" s="9">
        <v>0.61248221227724831</v>
      </c>
      <c r="L35" s="9">
        <v>0.59474258383464984</v>
      </c>
      <c r="M35" s="9">
        <v>0.54540524532321244</v>
      </c>
      <c r="N35" s="9">
        <v>0.52443484611922653</v>
      </c>
      <c r="O35" s="9">
        <v>0.49456267143665028</v>
      </c>
      <c r="P35" s="9">
        <v>0.48796213106653136</v>
      </c>
      <c r="Q35" s="9">
        <v>0.49889047741958059</v>
      </c>
      <c r="R35" s="9">
        <v>0.4944375140183539</v>
      </c>
      <c r="S35" s="9">
        <v>0.47427177002667253</v>
      </c>
      <c r="T35" s="9">
        <v>0.46951778865751043</v>
      </c>
      <c r="U35" s="9">
        <v>0.46116925851502327</v>
      </c>
      <c r="V35" s="9">
        <v>0.45646781862349023</v>
      </c>
    </row>
    <row r="36" spans="1:22">
      <c r="A36" s="11" t="s">
        <v>35</v>
      </c>
      <c r="B36" s="6" t="s">
        <v>64</v>
      </c>
      <c r="C36" s="9">
        <v>0.72813963911810176</v>
      </c>
      <c r="D36" s="9">
        <v>0.69932206367750982</v>
      </c>
      <c r="E36" s="9">
        <v>0.68227570695749207</v>
      </c>
      <c r="F36" s="9">
        <v>0.66060298981562182</v>
      </c>
      <c r="G36" s="9">
        <v>0.62479468449337872</v>
      </c>
      <c r="H36" s="9">
        <v>0.64928381473983154</v>
      </c>
      <c r="I36" s="9">
        <v>0.63978339449549793</v>
      </c>
      <c r="J36" s="9">
        <v>0.62047250646795904</v>
      </c>
      <c r="K36" s="9">
        <v>0.61233108123391888</v>
      </c>
      <c r="L36" s="9">
        <v>0.59767048365559983</v>
      </c>
      <c r="M36" s="9">
        <v>0.54594064237409712</v>
      </c>
      <c r="N36" s="9">
        <v>0.52500550610999241</v>
      </c>
      <c r="O36" s="9">
        <v>0.49808298851264893</v>
      </c>
      <c r="P36" s="9">
        <v>0.48865148589155771</v>
      </c>
      <c r="Q36" s="9">
        <v>0.49838222022882045</v>
      </c>
      <c r="R36" s="9">
        <v>0.49545275416058077</v>
      </c>
      <c r="S36" s="9">
        <v>0.47590274281223621</v>
      </c>
      <c r="T36" s="9">
        <v>0.46998093971167992</v>
      </c>
      <c r="U36" s="9">
        <v>0.4567872278094437</v>
      </c>
      <c r="V36" s="9">
        <v>0.45793209830474574</v>
      </c>
    </row>
    <row r="37" spans="1:22">
      <c r="A37" s="11" t="s">
        <v>35</v>
      </c>
      <c r="B37" s="6" t="s">
        <v>65</v>
      </c>
      <c r="C37" s="9">
        <v>0.74968327061290996</v>
      </c>
      <c r="D37" s="9">
        <v>0.71782293990641388</v>
      </c>
      <c r="E37" s="9">
        <v>0.70900574663682847</v>
      </c>
      <c r="F37" s="9">
        <v>0.68941196394913073</v>
      </c>
      <c r="G37" s="9">
        <v>0.65452645039547186</v>
      </c>
      <c r="H37" s="9">
        <v>0.692650694810797</v>
      </c>
      <c r="I37" s="9">
        <v>0.69351349716699673</v>
      </c>
      <c r="J37" s="9">
        <v>0.67677383411122849</v>
      </c>
      <c r="K37" s="9">
        <v>0.65319276079317656</v>
      </c>
      <c r="L37" s="9">
        <v>0.62825125499226842</v>
      </c>
      <c r="M37" s="9">
        <v>0.57463964158560499</v>
      </c>
      <c r="N37" s="9">
        <v>0.54860648355811725</v>
      </c>
      <c r="O37" s="9">
        <v>0.51486555986156635</v>
      </c>
      <c r="P37" s="9">
        <v>0.4990715489864162</v>
      </c>
      <c r="Q37" s="9">
        <v>0.512973757231032</v>
      </c>
      <c r="R37" s="9">
        <v>0.51710453891493735</v>
      </c>
      <c r="S37" s="9">
        <v>0.47113432475113948</v>
      </c>
      <c r="T37" s="9">
        <v>0.46970353880842003</v>
      </c>
      <c r="U37" s="9">
        <v>0.45844573201377398</v>
      </c>
      <c r="V37" s="9">
        <v>0.4576406163088822</v>
      </c>
    </row>
    <row r="38" spans="1:22">
      <c r="A38" s="11" t="s">
        <v>35</v>
      </c>
      <c r="B38" s="6" t="s">
        <v>66</v>
      </c>
      <c r="C38" s="9">
        <v>0.68932555812235952</v>
      </c>
      <c r="D38" s="9">
        <v>0.68774179706248495</v>
      </c>
      <c r="E38" s="9">
        <v>0.6548565708541253</v>
      </c>
      <c r="F38" s="9">
        <v>0.64094345947771347</v>
      </c>
      <c r="G38" s="9">
        <v>0.6071516734173108</v>
      </c>
      <c r="H38" s="9">
        <v>0.61881707695378396</v>
      </c>
      <c r="I38" s="9">
        <v>0.6265892201170834</v>
      </c>
      <c r="J38" s="9">
        <v>0.60675098090049218</v>
      </c>
      <c r="K38" s="9">
        <v>0.61549747942583211</v>
      </c>
      <c r="L38" s="9">
        <v>0.59468019902901603</v>
      </c>
      <c r="M38" s="9">
        <v>0.55131470803775051</v>
      </c>
      <c r="N38" s="9">
        <v>0.52901804443359068</v>
      </c>
      <c r="O38" s="9">
        <v>0.50447201990617108</v>
      </c>
      <c r="P38" s="9">
        <v>0.51149765314199347</v>
      </c>
      <c r="Q38" s="9">
        <v>0.50798338403915844</v>
      </c>
      <c r="R38" s="9">
        <v>0.49400538443355224</v>
      </c>
      <c r="S38" s="9">
        <v>0.46347445670513554</v>
      </c>
      <c r="T38" s="9">
        <v>0.45129161034007298</v>
      </c>
      <c r="U38" s="9">
        <v>0.45765206548080456</v>
      </c>
      <c r="V38" s="9">
        <v>0.4442501538420322</v>
      </c>
    </row>
    <row r="39" spans="1:22">
      <c r="A39" s="11" t="s">
        <v>35</v>
      </c>
      <c r="B39" s="6" t="s">
        <v>67</v>
      </c>
      <c r="C39" s="9">
        <v>0.50134561920150456</v>
      </c>
      <c r="D39" s="9">
        <v>0.49588688125824476</v>
      </c>
      <c r="E39" s="9">
        <v>0.46770092065285634</v>
      </c>
      <c r="F39" s="9">
        <v>0.4358858816262956</v>
      </c>
      <c r="G39" s="9">
        <v>0.41689620045732118</v>
      </c>
      <c r="H39" s="9">
        <v>0.34052778845209047</v>
      </c>
      <c r="I39" s="9">
        <v>0.28849292728092457</v>
      </c>
      <c r="J39" s="9">
        <v>0.29111785606436225</v>
      </c>
      <c r="K39" s="9">
        <v>0.323584515304218</v>
      </c>
      <c r="L39" s="9">
        <v>0.32728660836866014</v>
      </c>
      <c r="M39" s="9">
        <v>0.33352640685199408</v>
      </c>
      <c r="N39" s="9">
        <v>0.31395877510001807</v>
      </c>
      <c r="O39" s="9">
        <v>0.31091653510120404</v>
      </c>
      <c r="P39" s="9">
        <v>0.29241073566124354</v>
      </c>
      <c r="Q39" s="9">
        <v>0.31171944994826345</v>
      </c>
      <c r="R39" s="9">
        <v>0.32257252779517465</v>
      </c>
      <c r="S39" s="9">
        <v>0.30686938719135171</v>
      </c>
      <c r="T39" s="9">
        <v>0.32324084808970621</v>
      </c>
      <c r="U39" s="9">
        <v>0.33852494864798288</v>
      </c>
      <c r="V39" s="9">
        <v>0.34720753977807139</v>
      </c>
    </row>
    <row r="40" spans="1:22">
      <c r="A40" s="11" t="s">
        <v>35</v>
      </c>
      <c r="B40" s="6" t="s">
        <v>68</v>
      </c>
      <c r="C40" s="9">
        <v>0.50128250998027801</v>
      </c>
      <c r="D40" s="9">
        <v>0.50524301033429675</v>
      </c>
      <c r="E40" s="9">
        <v>0.4867372465294974</v>
      </c>
      <c r="F40" s="9">
        <v>0.45575520838880551</v>
      </c>
      <c r="G40" s="9">
        <v>0.44080100875925804</v>
      </c>
      <c r="H40" s="9">
        <v>0.41212131467620788</v>
      </c>
      <c r="I40" s="9">
        <v>0.37482553632895454</v>
      </c>
      <c r="J40" s="9">
        <v>0.36423180705356417</v>
      </c>
      <c r="K40" s="9">
        <v>0.39503338614129196</v>
      </c>
      <c r="L40" s="9">
        <v>0.38971511054776009</v>
      </c>
      <c r="M40" s="9">
        <v>0.39250678484098589</v>
      </c>
      <c r="N40" s="9">
        <v>0.36909245593254769</v>
      </c>
      <c r="O40" s="9">
        <v>0.36810360012888982</v>
      </c>
      <c r="P40" s="9">
        <v>0.36991322490151107</v>
      </c>
      <c r="Q40" s="9">
        <v>0.37736013186228401</v>
      </c>
      <c r="R40" s="9">
        <v>0.38346694561827355</v>
      </c>
      <c r="S40" s="9">
        <v>0.39055979360562709</v>
      </c>
      <c r="T40" s="9">
        <v>0.38215853427674651</v>
      </c>
      <c r="U40" s="9">
        <v>0.39067837090127189</v>
      </c>
      <c r="V40" s="9">
        <v>0.38982481618387554</v>
      </c>
    </row>
    <row r="41" spans="1:22">
      <c r="A41" s="11" t="s">
        <v>35</v>
      </c>
      <c r="B41" s="6" t="s">
        <v>69</v>
      </c>
      <c r="C41" s="9">
        <v>0.50572522171013701</v>
      </c>
      <c r="D41" s="9">
        <v>0.49818065165033926</v>
      </c>
      <c r="E41" s="9">
        <v>0.47590957048284749</v>
      </c>
      <c r="F41" s="9">
        <v>0.4446915500752705</v>
      </c>
      <c r="G41" s="9">
        <v>0.41569237347142601</v>
      </c>
      <c r="H41" s="9">
        <v>0.36853417798208044</v>
      </c>
      <c r="I41" s="9">
        <v>0.31870532910943233</v>
      </c>
      <c r="J41" s="9">
        <v>0.31361760252933668</v>
      </c>
      <c r="K41" s="9">
        <v>0.35700594553424431</v>
      </c>
      <c r="L41" s="9">
        <v>0.3412495939787959</v>
      </c>
      <c r="M41" s="9">
        <v>0.3465174499656532</v>
      </c>
      <c r="N41" s="9">
        <v>0.32260100603582603</v>
      </c>
      <c r="O41" s="9">
        <v>0.32686847055270207</v>
      </c>
      <c r="P41" s="9">
        <v>0.30777227391254358</v>
      </c>
      <c r="Q41" s="9">
        <v>0.33393172966913454</v>
      </c>
      <c r="R41" s="9">
        <v>0.32805652191138091</v>
      </c>
      <c r="S41" s="9">
        <v>0.3238530770249613</v>
      </c>
      <c r="T41" s="9">
        <v>0.33961228342137761</v>
      </c>
      <c r="U41" s="9">
        <v>0.33592305829982599</v>
      </c>
      <c r="V41" s="9">
        <v>0.34487516141213609</v>
      </c>
    </row>
    <row r="42" spans="1:22">
      <c r="A42" s="11" t="s">
        <v>35</v>
      </c>
      <c r="B42" s="6" t="s">
        <v>70</v>
      </c>
      <c r="C42" s="9">
        <v>0.67937443391522601</v>
      </c>
      <c r="D42" s="9">
        <v>0.66631429416227006</v>
      </c>
      <c r="E42" s="9">
        <v>0.63748382603121001</v>
      </c>
      <c r="F42" s="9">
        <v>0.62051708644500225</v>
      </c>
      <c r="G42" s="9">
        <v>0.59357317107658025</v>
      </c>
      <c r="H42" s="9">
        <v>0.60756839336722124</v>
      </c>
      <c r="I42" s="9">
        <v>0.60528400293147944</v>
      </c>
      <c r="J42" s="9">
        <v>0.61096419032043603</v>
      </c>
      <c r="K42" s="9">
        <v>0.60906998897853692</v>
      </c>
      <c r="L42" s="9">
        <v>0.59860373687583668</v>
      </c>
      <c r="M42" s="9">
        <v>0.54953785684131717</v>
      </c>
      <c r="N42" s="9">
        <v>0.53075160087443152</v>
      </c>
      <c r="O42" s="9">
        <v>0.5087427991722191</v>
      </c>
      <c r="P42" s="9">
        <v>0.51078277314131248</v>
      </c>
      <c r="Q42" s="9">
        <v>0.51593738084981511</v>
      </c>
      <c r="R42" s="9">
        <v>0.5000280329818505</v>
      </c>
      <c r="S42" s="9">
        <v>0.47051603829985772</v>
      </c>
      <c r="T42" s="9">
        <v>0.45661879802720629</v>
      </c>
      <c r="U42" s="9">
        <v>0.45355175303786355</v>
      </c>
      <c r="V42" s="9">
        <v>0.45052522292541397</v>
      </c>
    </row>
    <row r="43" spans="1:22">
      <c r="A43" s="11" t="s">
        <v>35</v>
      </c>
      <c r="B43" s="6" t="s">
        <v>71</v>
      </c>
      <c r="C43" s="9">
        <v>0.74014017607567206</v>
      </c>
      <c r="D43" s="9">
        <v>0.70758921335615454</v>
      </c>
      <c r="E43" s="9">
        <v>0.69662735698407707</v>
      </c>
      <c r="F43" s="9">
        <v>0.67306396204643582</v>
      </c>
      <c r="G43" s="9">
        <v>0.63890478124623418</v>
      </c>
      <c r="H43" s="9">
        <v>0.66827020945990356</v>
      </c>
      <c r="I43" s="9">
        <v>0.6687412837515978</v>
      </c>
      <c r="J43" s="9">
        <v>0.65326518211410478</v>
      </c>
      <c r="K43" s="9">
        <v>0.63130276022904752</v>
      </c>
      <c r="L43" s="9">
        <v>0.6193184088204754</v>
      </c>
      <c r="M43" s="9">
        <v>0.57578131871242877</v>
      </c>
      <c r="N43" s="9">
        <v>0.55620986675158479</v>
      </c>
      <c r="O43" s="9">
        <v>0.5179591762282747</v>
      </c>
      <c r="P43" s="9">
        <v>0.49872611248073573</v>
      </c>
      <c r="Q43" s="9">
        <v>0.5103723006565003</v>
      </c>
      <c r="R43" s="9">
        <v>0.50990585511625475</v>
      </c>
      <c r="S43" s="9">
        <v>0.47176575872781967</v>
      </c>
      <c r="T43" s="9">
        <v>0.46511656230534609</v>
      </c>
      <c r="U43" s="9">
        <v>0.45775291466078044</v>
      </c>
      <c r="V43" s="9">
        <v>0.46340046105822535</v>
      </c>
    </row>
    <row r="44" spans="1:22">
      <c r="A44" s="11" t="s">
        <v>35</v>
      </c>
      <c r="B44" s="6" t="s">
        <v>72</v>
      </c>
      <c r="C44" s="9">
        <v>0.77083159960987957</v>
      </c>
      <c r="D44" s="9">
        <v>0.73201315372302189</v>
      </c>
      <c r="E44" s="9">
        <v>0.73943264890605265</v>
      </c>
      <c r="F44" s="9">
        <v>0.67483361216593674</v>
      </c>
      <c r="G44" s="9">
        <v>0.62121208549385609</v>
      </c>
      <c r="H44" s="9">
        <v>0.64246096337137681</v>
      </c>
      <c r="I44" s="9">
        <v>0.63953287679654913</v>
      </c>
      <c r="J44" s="9">
        <v>0.66482927963600069</v>
      </c>
      <c r="K44" s="9">
        <v>0.63524031451063556</v>
      </c>
      <c r="L44" s="9">
        <v>0.60564700494670942</v>
      </c>
      <c r="M44" s="9">
        <v>0.569226227503424</v>
      </c>
      <c r="N44" s="9">
        <v>0.53967042674152899</v>
      </c>
      <c r="O44" s="9">
        <v>0.50264641210517291</v>
      </c>
      <c r="P44" s="9">
        <v>0.48464278104796643</v>
      </c>
      <c r="Q44" s="9">
        <v>0.47973340531838232</v>
      </c>
      <c r="R44" s="9">
        <v>0.49700052711346981</v>
      </c>
      <c r="S44" s="9">
        <v>0.42941684674892949</v>
      </c>
      <c r="T44" s="9">
        <v>0.44737744379814109</v>
      </c>
      <c r="U44" s="9">
        <v>0.42279505023300112</v>
      </c>
      <c r="V44" s="9">
        <v>0.43264877575013211</v>
      </c>
    </row>
    <row r="45" spans="1:22">
      <c r="A45" s="11" t="s">
        <v>35</v>
      </c>
      <c r="B45" s="6" t="s">
        <v>73</v>
      </c>
      <c r="C45" s="9"/>
      <c r="D45" s="9"/>
      <c r="E45" s="9">
        <v>0.50592268576470334</v>
      </c>
      <c r="F45" s="9">
        <v>0.4598850398575452</v>
      </c>
      <c r="G45" s="9">
        <v>0.43999857445775309</v>
      </c>
      <c r="H45" s="9">
        <v>0.43675556701604595</v>
      </c>
      <c r="I45" s="9">
        <v>0.39398217553204307</v>
      </c>
      <c r="J45" s="9">
        <v>0.37137585902030329</v>
      </c>
      <c r="K45" s="9">
        <v>0.39356885109144385</v>
      </c>
      <c r="L45" s="9">
        <v>0.38856187093248273</v>
      </c>
      <c r="M45" s="9">
        <v>0.38708696708600987</v>
      </c>
      <c r="N45" s="9">
        <v>0.37649727168001368</v>
      </c>
      <c r="O45" s="9">
        <v>0.35849468910451515</v>
      </c>
      <c r="P45" s="9">
        <v>0.37120682373263181</v>
      </c>
      <c r="Q45" s="9">
        <v>0.37765715491920482</v>
      </c>
      <c r="R45" s="9">
        <v>0.387052458457954</v>
      </c>
      <c r="S45" s="9">
        <v>0.38518879360831632</v>
      </c>
      <c r="T45" s="9">
        <v>0.37815419035839076</v>
      </c>
      <c r="U45" s="9">
        <v>0.38647740300849348</v>
      </c>
      <c r="V45" s="9">
        <v>0.38827381520408971</v>
      </c>
    </row>
    <row r="46" spans="1:22">
      <c r="A46" s="11" t="s">
        <v>35</v>
      </c>
      <c r="B46" s="6" t="s">
        <v>74</v>
      </c>
      <c r="C46" s="9">
        <v>0.66412373366496047</v>
      </c>
      <c r="D46" s="9">
        <v>0.65229394295586562</v>
      </c>
      <c r="E46" s="9">
        <v>0.61124492784171891</v>
      </c>
      <c r="F46" s="9">
        <v>0.58235593013005837</v>
      </c>
      <c r="G46" s="9">
        <v>0.55872280222740345</v>
      </c>
      <c r="H46" s="9">
        <v>0.58598794012354238</v>
      </c>
      <c r="I46" s="9">
        <v>0.57482066925882669</v>
      </c>
      <c r="J46" s="9">
        <v>0.60286139948407336</v>
      </c>
      <c r="K46" s="9">
        <v>0.58452664979278057</v>
      </c>
      <c r="L46" s="9">
        <v>0.58597863790417337</v>
      </c>
      <c r="M46" s="9">
        <v>0.54066030598912518</v>
      </c>
      <c r="N46" s="9">
        <v>0.52293741728433163</v>
      </c>
      <c r="O46" s="9">
        <v>0.4951602607850068</v>
      </c>
      <c r="P46" s="9">
        <v>0.51405749308443272</v>
      </c>
      <c r="Q46" s="9">
        <v>0.51969672641010023</v>
      </c>
      <c r="R46" s="9">
        <v>0.51485886529757774</v>
      </c>
      <c r="S46" s="9">
        <v>0.48470715201816306</v>
      </c>
      <c r="T46" s="9">
        <v>0.47146337226410373</v>
      </c>
      <c r="U46" s="9">
        <v>0.46354464756895486</v>
      </c>
      <c r="V46" s="9">
        <v>0.46071996413679173</v>
      </c>
    </row>
    <row r="47" spans="1:22">
      <c r="A47" s="11" t="s">
        <v>35</v>
      </c>
      <c r="B47" s="6" t="s">
        <v>75</v>
      </c>
      <c r="C47" s="9">
        <v>0.68545266087036616</v>
      </c>
      <c r="D47" s="9">
        <v>0.66899745866104843</v>
      </c>
      <c r="E47" s="9">
        <v>0.65257302846512533</v>
      </c>
      <c r="F47" s="9">
        <v>0.61969002071338164</v>
      </c>
      <c r="G47" s="9">
        <v>0.59589335768879714</v>
      </c>
      <c r="H47" s="9">
        <v>0.60906733769967736</v>
      </c>
      <c r="I47" s="9">
        <v>0.59926086008268198</v>
      </c>
      <c r="J47" s="9">
        <v>0.59563594528788411</v>
      </c>
      <c r="K47" s="9">
        <v>0.58866425031412961</v>
      </c>
      <c r="L47" s="9">
        <v>0.57079300026762458</v>
      </c>
      <c r="M47" s="9">
        <v>0.52705454170150157</v>
      </c>
      <c r="N47" s="9">
        <v>0.50981890780525541</v>
      </c>
      <c r="O47" s="9">
        <v>0.47761665894708355</v>
      </c>
      <c r="P47" s="9">
        <v>0.49208104235672862</v>
      </c>
      <c r="Q47" s="9">
        <v>0.48059264327474338</v>
      </c>
      <c r="R47" s="9">
        <v>0.4754745610375205</v>
      </c>
      <c r="S47" s="9">
        <v>0.4534270573122231</v>
      </c>
      <c r="T47" s="9">
        <v>0.44732736721348543</v>
      </c>
      <c r="U47" s="9">
        <v>0.4424382726829339</v>
      </c>
      <c r="V47" s="9">
        <v>0.43332300175530059</v>
      </c>
    </row>
    <row r="48" spans="1:22">
      <c r="A48" s="11" t="s">
        <v>35</v>
      </c>
      <c r="B48" s="6" t="s">
        <v>76</v>
      </c>
      <c r="C48" s="9">
        <v>0.71078224440074833</v>
      </c>
      <c r="D48" s="9">
        <v>0.71366780289767073</v>
      </c>
      <c r="E48" s="9">
        <v>0.68431307230989502</v>
      </c>
      <c r="F48" s="9">
        <v>0.63698620020659846</v>
      </c>
      <c r="G48" s="9">
        <v>0.59424306278138439</v>
      </c>
      <c r="H48" s="9">
        <v>0.62474038699072953</v>
      </c>
      <c r="I48" s="9">
        <v>0.62064291888077594</v>
      </c>
      <c r="J48" s="9">
        <v>0.5932127311354356</v>
      </c>
      <c r="K48" s="9">
        <v>0.61555649571058568</v>
      </c>
      <c r="L48" s="9">
        <v>0.5901712181292551</v>
      </c>
      <c r="M48" s="9">
        <v>0.54528044565814549</v>
      </c>
      <c r="N48" s="9">
        <v>0.51956341743447154</v>
      </c>
      <c r="O48" s="9">
        <v>0.49765934852616767</v>
      </c>
      <c r="P48" s="9">
        <v>0.50627412301177444</v>
      </c>
      <c r="Q48" s="9">
        <v>0.5005244120302994</v>
      </c>
      <c r="R48" s="9">
        <v>0.4785444758061001</v>
      </c>
      <c r="S48" s="9">
        <v>0.4669410943192584</v>
      </c>
      <c r="T48" s="9">
        <v>0.45102765154345914</v>
      </c>
      <c r="U48" s="9">
        <v>0.44005152601929226</v>
      </c>
      <c r="V48" s="9">
        <v>0.4371448401231402</v>
      </c>
    </row>
    <row r="49" spans="1:22">
      <c r="A49" s="11" t="s">
        <v>35</v>
      </c>
      <c r="B49" s="6" t="s">
        <v>77</v>
      </c>
      <c r="C49" s="9">
        <v>0.69616534563938814</v>
      </c>
      <c r="D49" s="9">
        <v>0.67673014537807386</v>
      </c>
      <c r="E49" s="9">
        <v>0.63435728921432633</v>
      </c>
      <c r="F49" s="9">
        <v>0.61409471323182718</v>
      </c>
      <c r="G49" s="9">
        <v>0.58070413282959521</v>
      </c>
      <c r="H49" s="9">
        <v>0.60635456549598354</v>
      </c>
      <c r="I49" s="9">
        <v>0.60617786658891315</v>
      </c>
      <c r="J49" s="9">
        <v>0.60940930815759642</v>
      </c>
      <c r="K49" s="9">
        <v>0.61090322579587153</v>
      </c>
      <c r="L49" s="9">
        <v>0.59812527645925084</v>
      </c>
      <c r="M49" s="9">
        <v>0.54755681052683958</v>
      </c>
      <c r="N49" s="9">
        <v>0.52696722567270815</v>
      </c>
      <c r="O49" s="9">
        <v>0.50582287745081533</v>
      </c>
      <c r="P49" s="9">
        <v>0.50680016393524951</v>
      </c>
      <c r="Q49" s="9">
        <v>0.51387241976868214</v>
      </c>
      <c r="R49" s="9">
        <v>0.48633485067073523</v>
      </c>
      <c r="S49" s="9">
        <v>0.45690475655739388</v>
      </c>
      <c r="T49" s="9">
        <v>0.44440624023391351</v>
      </c>
      <c r="U49" s="9">
        <v>0.43785143638534713</v>
      </c>
      <c r="V49" s="9">
        <v>0.43794686708983738</v>
      </c>
    </row>
    <row r="50" spans="1:22">
      <c r="A50" s="11" t="s">
        <v>35</v>
      </c>
      <c r="B50" s="6" t="s">
        <v>78</v>
      </c>
      <c r="C50" s="9">
        <v>0.72286137034068287</v>
      </c>
      <c r="D50" s="9">
        <v>0.69747106010831228</v>
      </c>
      <c r="E50" s="9">
        <v>0.67112915931085226</v>
      </c>
      <c r="F50" s="9">
        <v>0.64102225674734925</v>
      </c>
      <c r="G50" s="9">
        <v>0.60641565125212626</v>
      </c>
      <c r="H50" s="9">
        <v>0.63004620741748552</v>
      </c>
      <c r="I50" s="9">
        <v>0.62869459112231307</v>
      </c>
      <c r="J50" s="9">
        <v>0.6159914551722977</v>
      </c>
      <c r="K50" s="9">
        <v>0.60353571646553528</v>
      </c>
      <c r="L50" s="9">
        <v>0.59240035755549092</v>
      </c>
      <c r="M50" s="9">
        <v>0.53693706442586386</v>
      </c>
      <c r="N50" s="9">
        <v>0.51914877820323535</v>
      </c>
      <c r="O50" s="9">
        <v>0.49366046123079999</v>
      </c>
      <c r="P50" s="9">
        <v>0.48204209320740848</v>
      </c>
      <c r="Q50" s="9">
        <v>0.49687605279649655</v>
      </c>
      <c r="R50" s="9">
        <v>0.48731859331974653</v>
      </c>
      <c r="S50" s="9">
        <v>0.46791217768108806</v>
      </c>
      <c r="T50" s="9">
        <v>0.46395224466291529</v>
      </c>
      <c r="U50" s="9">
        <v>0.44501075187152805</v>
      </c>
      <c r="V50" s="9">
        <v>0.4480543119143669</v>
      </c>
    </row>
    <row r="51" spans="1:22">
      <c r="A51" s="11" t="s">
        <v>35</v>
      </c>
      <c r="B51" s="6" t="s">
        <v>79</v>
      </c>
      <c r="C51" s="9">
        <v>0.68489880291605243</v>
      </c>
      <c r="D51" s="9">
        <v>0.6754774185353245</v>
      </c>
      <c r="E51" s="9">
        <v>0.64504567341630825</v>
      </c>
      <c r="F51" s="9">
        <v>0.62280875585983086</v>
      </c>
      <c r="G51" s="9">
        <v>0.59175238291810472</v>
      </c>
      <c r="H51" s="9">
        <v>0.6089724138334498</v>
      </c>
      <c r="I51" s="9">
        <v>0.60882518442478017</v>
      </c>
      <c r="J51" s="9">
        <v>0.61471945114000781</v>
      </c>
      <c r="K51" s="9">
        <v>0.61363494065578605</v>
      </c>
      <c r="L51" s="9">
        <v>0.60613452070866713</v>
      </c>
      <c r="M51" s="9">
        <v>0.55746978755826249</v>
      </c>
      <c r="N51" s="9">
        <v>0.53501553470867502</v>
      </c>
      <c r="O51" s="9">
        <v>0.51514624795926589</v>
      </c>
      <c r="P51" s="9">
        <v>0.51594729993207533</v>
      </c>
      <c r="Q51" s="9">
        <v>0.52200697084674197</v>
      </c>
      <c r="R51" s="9">
        <v>0.50001789776059136</v>
      </c>
      <c r="S51" s="9">
        <v>0.47040637656264672</v>
      </c>
      <c r="T51" s="9">
        <v>0.45501303247065561</v>
      </c>
      <c r="U51" s="9">
        <v>0.45273996970235442</v>
      </c>
      <c r="V51" s="9">
        <v>0.44868783455806721</v>
      </c>
    </row>
    <row r="52" spans="1:22">
      <c r="A52" s="11" t="s">
        <v>35</v>
      </c>
      <c r="B52" s="6" t="s">
        <v>80</v>
      </c>
      <c r="C52" s="9">
        <v>0.68136464115553108</v>
      </c>
      <c r="D52" s="9">
        <v>0.67131325715012657</v>
      </c>
      <c r="E52" s="9">
        <v>0.63030289687598429</v>
      </c>
      <c r="F52" s="9">
        <v>0.60000600070090182</v>
      </c>
      <c r="G52" s="9">
        <v>0.56782662565292452</v>
      </c>
      <c r="H52" s="9">
        <v>0.59197777837893784</v>
      </c>
      <c r="I52" s="9">
        <v>0.58981031736518064</v>
      </c>
      <c r="J52" s="9">
        <v>0.60550608366631686</v>
      </c>
      <c r="K52" s="9">
        <v>0.59000070222413636</v>
      </c>
      <c r="L52" s="9">
        <v>0.591995828461919</v>
      </c>
      <c r="M52" s="9">
        <v>0.54082227034183705</v>
      </c>
      <c r="N52" s="9">
        <v>0.52108991254023929</v>
      </c>
      <c r="O52" s="9">
        <v>0.49972736217113645</v>
      </c>
      <c r="P52" s="9">
        <v>0.51048897815759176</v>
      </c>
      <c r="Q52" s="9">
        <v>0.512312901332867</v>
      </c>
      <c r="R52" s="9">
        <v>0.48773268737989967</v>
      </c>
      <c r="S52" s="9">
        <v>0.45765383246346375</v>
      </c>
      <c r="T52" s="9">
        <v>0.45051316500978056</v>
      </c>
      <c r="U52" s="9">
        <v>0.44480845443049416</v>
      </c>
      <c r="V52" s="9">
        <v>0.44564738047575769</v>
      </c>
    </row>
    <row r="53" spans="1:22">
      <c r="A53" s="11" t="s">
        <v>35</v>
      </c>
      <c r="B53" s="6" t="s">
        <v>81</v>
      </c>
      <c r="C53" s="9">
        <v>0.74416938968816526</v>
      </c>
      <c r="D53" s="9">
        <v>0.72132152680155015</v>
      </c>
      <c r="E53" s="9">
        <v>0.71504880635061197</v>
      </c>
      <c r="F53" s="9">
        <v>0.69238697593974663</v>
      </c>
      <c r="G53" s="9">
        <v>0.66755372194032547</v>
      </c>
      <c r="H53" s="9">
        <v>0.70047907739892168</v>
      </c>
      <c r="I53" s="9">
        <v>0.71485902009682822</v>
      </c>
      <c r="J53" s="9">
        <v>0.70417831192631952</v>
      </c>
      <c r="K53" s="9">
        <v>0.66710530109866728</v>
      </c>
      <c r="L53" s="9">
        <v>0.66195171369790118</v>
      </c>
      <c r="M53" s="9">
        <v>0.62466019218506741</v>
      </c>
      <c r="N53" s="9">
        <v>0.59318078705168764</v>
      </c>
      <c r="O53" s="9">
        <v>0.56290677453705362</v>
      </c>
      <c r="P53" s="9">
        <v>0.54777853385400455</v>
      </c>
      <c r="Q53" s="9">
        <v>0.55771447641995076</v>
      </c>
      <c r="R53" s="9">
        <v>0.56041360378350158</v>
      </c>
      <c r="S53" s="9">
        <v>0.51028939240522442</v>
      </c>
      <c r="T53" s="9">
        <v>0.4949802676828427</v>
      </c>
      <c r="U53" s="9">
        <v>0.49494867536383186</v>
      </c>
      <c r="V53" s="9">
        <v>0.49874571343791485</v>
      </c>
    </row>
    <row r="54" spans="1:22">
      <c r="A54" s="11" t="s">
        <v>35</v>
      </c>
      <c r="B54" s="6" t="s">
        <v>82</v>
      </c>
      <c r="C54" s="9">
        <v>0.71648648829266293</v>
      </c>
      <c r="D54" s="9">
        <v>0.69226412524449821</v>
      </c>
      <c r="E54" s="9">
        <v>0.68176930954311998</v>
      </c>
      <c r="F54" s="9">
        <v>0.63230644225605648</v>
      </c>
      <c r="G54" s="9">
        <v>0.58346219805943211</v>
      </c>
      <c r="H54" s="9">
        <v>0.60783861344076728</v>
      </c>
      <c r="I54" s="9">
        <v>0.58808324936926171</v>
      </c>
      <c r="J54" s="9">
        <v>0.58439193703874004</v>
      </c>
      <c r="K54" s="9">
        <v>0.5426297587629213</v>
      </c>
      <c r="L54" s="9">
        <v>0.54761799405705092</v>
      </c>
      <c r="M54" s="9">
        <v>0.46924257028538319</v>
      </c>
      <c r="N54" s="9">
        <v>0.46276921341911209</v>
      </c>
      <c r="O54" s="9">
        <v>0.44145588970286526</v>
      </c>
      <c r="P54" s="9">
        <v>0.43503892953380729</v>
      </c>
      <c r="Q54" s="9">
        <v>0.43387593718019807</v>
      </c>
      <c r="R54" s="9">
        <v>0.40860807902942942</v>
      </c>
      <c r="S54" s="9">
        <v>0.41500927545850325</v>
      </c>
      <c r="T54" s="9">
        <v>0.43230379785296685</v>
      </c>
      <c r="U54" s="9">
        <v>0.3874942842075294</v>
      </c>
      <c r="V54" s="9">
        <v>0.37256763404098209</v>
      </c>
    </row>
    <row r="55" spans="1:22">
      <c r="A55" s="11" t="s">
        <v>35</v>
      </c>
      <c r="B55" s="6" t="s">
        <v>83</v>
      </c>
      <c r="C55" s="9">
        <v>0.50525693542878636</v>
      </c>
      <c r="D55" s="9">
        <v>0.50022333241323746</v>
      </c>
      <c r="E55" s="9">
        <v>0.47202920954222688</v>
      </c>
      <c r="F55" s="9">
        <v>0.44313121751953277</v>
      </c>
      <c r="G55" s="9">
        <v>0.42072499366345301</v>
      </c>
      <c r="H55" s="9">
        <v>0.38070046480088582</v>
      </c>
      <c r="I55" s="9">
        <v>0.33342689507710366</v>
      </c>
      <c r="J55" s="9">
        <v>0.32702521304932353</v>
      </c>
      <c r="K55" s="9">
        <v>0.37009677297011839</v>
      </c>
      <c r="L55" s="9">
        <v>0.35588976589362192</v>
      </c>
      <c r="M55" s="9">
        <v>0.35258843757919578</v>
      </c>
      <c r="N55" s="9">
        <v>0.33711006641996188</v>
      </c>
      <c r="O55" s="9">
        <v>0.33600769575434586</v>
      </c>
      <c r="P55" s="9">
        <v>0.32752312125298061</v>
      </c>
      <c r="Q55" s="9">
        <v>0.34655443022074206</v>
      </c>
      <c r="R55" s="9">
        <v>0.35199346192512865</v>
      </c>
      <c r="S55" s="9">
        <v>0.34901428315567895</v>
      </c>
      <c r="T55" s="9">
        <v>0.35266988019604006</v>
      </c>
      <c r="U55" s="9">
        <v>0.35590236076423193</v>
      </c>
      <c r="V55" s="9">
        <v>0.35661669971047671</v>
      </c>
    </row>
    <row r="56" spans="1:22">
      <c r="A56" s="11" t="s">
        <v>35</v>
      </c>
      <c r="B56" s="6" t="s">
        <v>84</v>
      </c>
      <c r="C56" s="9">
        <v>0.67371876442693601</v>
      </c>
      <c r="D56" s="9">
        <v>0.66903203720401527</v>
      </c>
      <c r="E56" s="9">
        <v>0.64012787872425481</v>
      </c>
      <c r="F56" s="9">
        <v>0.62461348183421961</v>
      </c>
      <c r="G56" s="9">
        <v>0.58864858301527601</v>
      </c>
      <c r="H56" s="9">
        <v>0.61060418490136292</v>
      </c>
      <c r="I56" s="9">
        <v>0.61416822016073791</v>
      </c>
      <c r="J56" s="9">
        <v>0.61686821642732714</v>
      </c>
      <c r="K56" s="9">
        <v>0.61230986642065321</v>
      </c>
      <c r="L56" s="9">
        <v>0.60598913424187084</v>
      </c>
      <c r="M56" s="9">
        <v>0.55573308021346557</v>
      </c>
      <c r="N56" s="9">
        <v>0.53485482264519102</v>
      </c>
      <c r="O56" s="9">
        <v>0.51302405442720111</v>
      </c>
      <c r="P56" s="9">
        <v>0.5048207901081041</v>
      </c>
      <c r="Q56" s="9">
        <v>0.50720332774044952</v>
      </c>
      <c r="R56" s="9">
        <v>0.49467297032122204</v>
      </c>
      <c r="S56" s="9">
        <v>0.46706194850001215</v>
      </c>
      <c r="T56" s="9">
        <v>0.45338997626151395</v>
      </c>
      <c r="U56" s="9">
        <v>0.45512549690979387</v>
      </c>
      <c r="V56" s="9">
        <v>0.44201971485198899</v>
      </c>
    </row>
    <row r="57" spans="1:22">
      <c r="A57" s="11" t="s">
        <v>35</v>
      </c>
      <c r="B57" s="6" t="s">
        <v>85</v>
      </c>
      <c r="C57" s="9">
        <v>0.72372873869319443</v>
      </c>
      <c r="D57" s="9">
        <v>0.69815439248618882</v>
      </c>
      <c r="E57" s="9">
        <v>0.67122942017212495</v>
      </c>
      <c r="F57" s="9">
        <v>0.65335930160468991</v>
      </c>
      <c r="G57" s="9">
        <v>0.6182728921042816</v>
      </c>
      <c r="H57" s="9">
        <v>0.63946128464333907</v>
      </c>
      <c r="I57" s="9">
        <v>0.63271320945310561</v>
      </c>
      <c r="J57" s="9">
        <v>0.6309171068478352</v>
      </c>
      <c r="K57" s="9">
        <v>0.5911556897413841</v>
      </c>
      <c r="L57" s="9">
        <v>0.58751010170103124</v>
      </c>
      <c r="M57" s="9">
        <v>0.52954772120867766</v>
      </c>
      <c r="N57" s="9">
        <v>0.5178126975961731</v>
      </c>
      <c r="O57" s="9">
        <v>0.4800582440516819</v>
      </c>
      <c r="P57" s="9">
        <v>0.49101741115457248</v>
      </c>
      <c r="Q57" s="9">
        <v>0.49060225225691995</v>
      </c>
      <c r="R57" s="9">
        <v>0.46419477538371262</v>
      </c>
      <c r="S57" s="9">
        <v>0.46425610488559582</v>
      </c>
      <c r="T57" s="9">
        <v>0.49331891813836481</v>
      </c>
      <c r="U57" s="9">
        <v>0.45679842896285056</v>
      </c>
      <c r="V57" s="9">
        <v>0.4531927266356085</v>
      </c>
    </row>
    <row r="58" spans="1:22">
      <c r="A58" s="11" t="s">
        <v>35</v>
      </c>
      <c r="B58" s="6" t="s">
        <v>86</v>
      </c>
      <c r="C58" s="9">
        <v>0.72287278619764239</v>
      </c>
      <c r="D58" s="9">
        <v>0.68895055229832047</v>
      </c>
      <c r="E58" s="9">
        <v>0.66295443994893111</v>
      </c>
      <c r="F58" s="9">
        <v>0.63843321357746696</v>
      </c>
      <c r="G58" s="9">
        <v>0.62806531670418764</v>
      </c>
      <c r="H58" s="9">
        <v>0.64226742418437133</v>
      </c>
      <c r="I58" s="9">
        <v>0.6347413221654632</v>
      </c>
      <c r="J58" s="9">
        <v>0.63883691480716265</v>
      </c>
      <c r="K58" s="9">
        <v>0.58641094879453382</v>
      </c>
      <c r="L58" s="9">
        <v>0.59192561456961934</v>
      </c>
      <c r="M58" s="9">
        <v>0.53358624894576778</v>
      </c>
      <c r="N58" s="9">
        <v>0.52022790798782248</v>
      </c>
      <c r="O58" s="9">
        <v>0.50018949860622575</v>
      </c>
      <c r="P58" s="9">
        <v>0.48495674970531261</v>
      </c>
      <c r="Q58" s="9">
        <v>0.50702708747642777</v>
      </c>
      <c r="R58" s="9">
        <v>0.47995012345400989</v>
      </c>
      <c r="S58" s="9">
        <v>0.47666654269635461</v>
      </c>
      <c r="T58" s="9">
        <v>0.49214130996126609</v>
      </c>
      <c r="U58" s="9">
        <v>0.45971963832745033</v>
      </c>
      <c r="V58" s="9">
        <v>0.46043615315769992</v>
      </c>
    </row>
    <row r="59" spans="1:22">
      <c r="A59" s="13" t="s">
        <v>35</v>
      </c>
      <c r="B59" s="14" t="s">
        <v>87</v>
      </c>
      <c r="C59" s="15">
        <v>0.72221467383321192</v>
      </c>
      <c r="D59" s="15">
        <v>0.69506481744192161</v>
      </c>
      <c r="E59" s="15">
        <v>0.66594907606493747</v>
      </c>
      <c r="F59" s="15">
        <v>0.64586575064556129</v>
      </c>
      <c r="G59" s="15">
        <v>0.61506677283017164</v>
      </c>
      <c r="H59" s="15">
        <v>0.63550135961607401</v>
      </c>
      <c r="I59" s="15">
        <v>0.63338910939265303</v>
      </c>
      <c r="J59" s="15">
        <v>0.62577636616500187</v>
      </c>
      <c r="K59" s="15">
        <v>0.6029936796274995</v>
      </c>
      <c r="L59" s="15">
        <v>0.59354758527000584</v>
      </c>
      <c r="M59" s="15">
        <v>0.5453848066835375</v>
      </c>
      <c r="N59" s="15">
        <v>0.52487951567232793</v>
      </c>
      <c r="O59" s="15">
        <v>0.49463758501213539</v>
      </c>
      <c r="P59" s="15">
        <v>0.50342458955596481</v>
      </c>
      <c r="Q59" s="15">
        <v>0.50253084308323159</v>
      </c>
      <c r="R59" s="15">
        <v>0.48058773058852583</v>
      </c>
      <c r="S59" s="15">
        <v>0.47190570576060936</v>
      </c>
      <c r="T59" s="15">
        <v>0.47894316806433307</v>
      </c>
      <c r="U59" s="15">
        <v>0.45723271216539946</v>
      </c>
      <c r="V59" s="15">
        <v>0.44941245566821375</v>
      </c>
    </row>
    <row r="60" spans="1:22">
      <c r="A60" s="11" t="s">
        <v>36</v>
      </c>
      <c r="B60" s="6" t="s">
        <v>88</v>
      </c>
      <c r="C60" s="9">
        <v>0.44072336996903572</v>
      </c>
      <c r="D60" s="9">
        <v>0.39015632675892253</v>
      </c>
      <c r="E60" s="9">
        <v>0.31448859600266915</v>
      </c>
      <c r="F60" s="9">
        <v>0.34525662063256779</v>
      </c>
      <c r="G60" s="9">
        <v>0.33499643781496607</v>
      </c>
      <c r="H60" s="9">
        <v>0.34024738483164674</v>
      </c>
      <c r="I60" s="9">
        <v>0.33545832356560823</v>
      </c>
      <c r="J60" s="9">
        <v>0.30724116483518787</v>
      </c>
      <c r="K60" s="9">
        <v>0.27924266010612819</v>
      </c>
      <c r="L60" s="9">
        <v>0.26474252371380069</v>
      </c>
      <c r="M60" s="9">
        <v>0.23601233031734142</v>
      </c>
      <c r="N60" s="9">
        <v>0.19730031092571793</v>
      </c>
      <c r="O60" s="9">
        <v>0.18325306363533078</v>
      </c>
      <c r="P60" s="9">
        <v>0.17791651425011806</v>
      </c>
      <c r="Q60" s="9">
        <v>0.17158503865427471</v>
      </c>
      <c r="R60" s="9"/>
      <c r="S60" s="9"/>
      <c r="T60" s="9"/>
      <c r="U60" s="9"/>
      <c r="V60" s="9"/>
    </row>
    <row r="61" spans="1:22">
      <c r="A61" s="11" t="s">
        <v>36</v>
      </c>
      <c r="B61" s="6" t="s">
        <v>89</v>
      </c>
      <c r="C61" s="9">
        <v>0.41950583126925151</v>
      </c>
      <c r="D61" s="9">
        <v>0.35977622593508257</v>
      </c>
      <c r="E61" s="9">
        <v>0.29538249250405457</v>
      </c>
      <c r="F61" s="9">
        <v>0.31806202452325077</v>
      </c>
      <c r="G61" s="9">
        <v>0.30121203744931646</v>
      </c>
      <c r="H61" s="9">
        <v>0.31714053772984058</v>
      </c>
      <c r="I61" s="9">
        <v>0.29647135075466796</v>
      </c>
      <c r="J61" s="9">
        <v>0.2769636452647708</v>
      </c>
      <c r="K61" s="9">
        <v>0.25982214466688147</v>
      </c>
      <c r="L61" s="9">
        <v>0.24557037850719174</v>
      </c>
      <c r="M61" s="9">
        <v>0.22435527097849414</v>
      </c>
      <c r="N61" s="9">
        <v>0.17983343268146842</v>
      </c>
      <c r="O61" s="9">
        <v>0.18533673567302111</v>
      </c>
      <c r="P61" s="9">
        <v>0.15560399238062284</v>
      </c>
      <c r="Q61" s="9">
        <v>0.14975388663917449</v>
      </c>
      <c r="R61" s="9"/>
      <c r="S61" s="9"/>
      <c r="T61" s="9"/>
      <c r="U61" s="9"/>
      <c r="V61" s="9"/>
    </row>
    <row r="62" spans="1:22">
      <c r="A62" s="11" t="s">
        <v>36</v>
      </c>
      <c r="B62" s="6" t="s">
        <v>90</v>
      </c>
      <c r="C62" s="9">
        <v>0.44070096643404427</v>
      </c>
      <c r="D62" s="9">
        <v>0.37446486957431968</v>
      </c>
      <c r="E62" s="9">
        <v>0.31197392314246913</v>
      </c>
      <c r="F62" s="9">
        <v>0.33775916014064433</v>
      </c>
      <c r="G62" s="9">
        <v>0.33233870774644148</v>
      </c>
      <c r="H62" s="9">
        <v>0.33524429011227974</v>
      </c>
      <c r="I62" s="9">
        <v>0.32204527209796391</v>
      </c>
      <c r="J62" s="9">
        <v>0.30164580154324466</v>
      </c>
      <c r="K62" s="9">
        <v>0.29323981108461522</v>
      </c>
      <c r="L62" s="9">
        <v>0.27787074301524234</v>
      </c>
      <c r="M62" s="9">
        <v>0.25115834089707945</v>
      </c>
      <c r="N62" s="9">
        <v>0.20396050572033639</v>
      </c>
      <c r="O62" s="9">
        <v>0.19736473980385025</v>
      </c>
      <c r="P62" s="9">
        <v>0.17693345947578434</v>
      </c>
      <c r="Q62" s="9">
        <v>0.16999643620903029</v>
      </c>
      <c r="R62" s="9"/>
      <c r="S62" s="9"/>
      <c r="T62" s="9"/>
      <c r="U62" s="9"/>
      <c r="V62" s="9"/>
    </row>
    <row r="63" spans="1:22">
      <c r="A63" s="11" t="s">
        <v>36</v>
      </c>
      <c r="B63" s="6" t="s">
        <v>91</v>
      </c>
      <c r="C63" s="9">
        <v>0.514061290661042</v>
      </c>
      <c r="D63" s="9">
        <v>0.37548473185004438</v>
      </c>
      <c r="E63" s="9">
        <v>0.31056686870197819</v>
      </c>
      <c r="F63" s="9">
        <v>0.34477912445016923</v>
      </c>
      <c r="G63" s="9">
        <v>0.34491408186249856</v>
      </c>
      <c r="H63" s="9">
        <v>0.33446977480028811</v>
      </c>
      <c r="I63" s="9">
        <v>0.32800929889849789</v>
      </c>
      <c r="J63" s="9">
        <v>0.31196133013119204</v>
      </c>
      <c r="K63" s="9">
        <v>0.31866102126029083</v>
      </c>
      <c r="L63" s="9">
        <v>0.30979263994081219</v>
      </c>
      <c r="M63" s="9">
        <v>0.27431200639933939</v>
      </c>
      <c r="N63" s="9">
        <v>0.22958860720136789</v>
      </c>
      <c r="O63" s="9">
        <v>0.21505106785225223</v>
      </c>
      <c r="P63" s="9">
        <v>0.19216300075971796</v>
      </c>
      <c r="Q63" s="9">
        <v>0.18563140403648157</v>
      </c>
      <c r="R63" s="9"/>
      <c r="S63" s="9"/>
      <c r="T63" s="9"/>
      <c r="U63" s="9"/>
      <c r="V63" s="9"/>
    </row>
    <row r="64" spans="1:22">
      <c r="A64" s="11" t="s">
        <v>36</v>
      </c>
      <c r="B64" s="6" t="s">
        <v>92</v>
      </c>
      <c r="C64" s="9">
        <v>0.44164775526908462</v>
      </c>
      <c r="D64" s="9">
        <v>0.38557514241780233</v>
      </c>
      <c r="E64" s="9">
        <v>0.32979948803497261</v>
      </c>
      <c r="F64" s="9">
        <v>0.35351700417071091</v>
      </c>
      <c r="G64" s="9">
        <v>0.35847006732681541</v>
      </c>
      <c r="H64" s="9">
        <v>0.35358703430141919</v>
      </c>
      <c r="I64" s="9">
        <v>0.33788282813969989</v>
      </c>
      <c r="J64" s="9">
        <v>0.31937679952878206</v>
      </c>
      <c r="K64" s="9">
        <v>0.31656253030486947</v>
      </c>
      <c r="L64" s="9">
        <v>0.30405354169100024</v>
      </c>
      <c r="M64" s="9">
        <v>0.27086549806764953</v>
      </c>
      <c r="N64" s="9">
        <v>0.22460751519133715</v>
      </c>
      <c r="O64" s="9">
        <v>0.21248213110065353</v>
      </c>
      <c r="P64" s="9">
        <v>0.19333815548185276</v>
      </c>
      <c r="Q64" s="9">
        <v>0.18098506237589176</v>
      </c>
      <c r="R64" s="9"/>
      <c r="S64" s="9"/>
      <c r="T64" s="9"/>
      <c r="U64" s="9"/>
      <c r="V64" s="9"/>
    </row>
    <row r="65" spans="1:22">
      <c r="A65" s="11" t="s">
        <v>36</v>
      </c>
      <c r="B65" s="6" t="s">
        <v>93</v>
      </c>
      <c r="C65" s="9">
        <v>0.44626675504960794</v>
      </c>
      <c r="D65" s="9">
        <v>0.41143318515924043</v>
      </c>
      <c r="E65" s="9">
        <v>0.39382056192319725</v>
      </c>
      <c r="F65" s="9">
        <v>0.39851846388268047</v>
      </c>
      <c r="G65" s="9">
        <v>0.40269964607243525</v>
      </c>
      <c r="H65" s="9">
        <v>0.39243780933582989</v>
      </c>
      <c r="I65" s="9">
        <v>0.37772136199212153</v>
      </c>
      <c r="J65" s="9">
        <v>0.35570926172268391</v>
      </c>
      <c r="K65" s="9">
        <v>0.37097116312204031</v>
      </c>
      <c r="L65" s="9">
        <v>0.36189960939989985</v>
      </c>
      <c r="M65" s="9">
        <v>0.34272824564902821</v>
      </c>
      <c r="N65" s="9">
        <v>0.30314508835860365</v>
      </c>
      <c r="O65" s="9">
        <v>0.29616478198528845</v>
      </c>
      <c r="P65" s="9">
        <v>0.28404666890420149</v>
      </c>
      <c r="Q65" s="9">
        <v>0.25574932083839008</v>
      </c>
      <c r="R65" s="9"/>
      <c r="S65" s="9"/>
      <c r="T65" s="9"/>
      <c r="U65" s="9"/>
      <c r="V65" s="9"/>
    </row>
    <row r="66" spans="1:22">
      <c r="A66" s="11" t="s">
        <v>36</v>
      </c>
      <c r="B66" s="6" t="s">
        <v>94</v>
      </c>
      <c r="C66" s="9">
        <v>0.46499314758256249</v>
      </c>
      <c r="D66" s="9">
        <v>0.42758227475216221</v>
      </c>
      <c r="E66" s="9">
        <v>0.40464759402025952</v>
      </c>
      <c r="F66" s="9">
        <v>0.4051906654366329</v>
      </c>
      <c r="G66" s="9">
        <v>0.40960702511724195</v>
      </c>
      <c r="H66" s="9">
        <v>0.40105214505617165</v>
      </c>
      <c r="I66" s="9">
        <v>0.39106171975474291</v>
      </c>
      <c r="J66" s="9">
        <v>0.3656621459475955</v>
      </c>
      <c r="K66" s="9">
        <v>0.37790576392984332</v>
      </c>
      <c r="L66" s="9">
        <v>0.36493837521048827</v>
      </c>
      <c r="M66" s="9">
        <v>0.34125699410432458</v>
      </c>
      <c r="N66" s="9">
        <v>0.30705313475681068</v>
      </c>
      <c r="O66" s="9">
        <v>0.29293286391962009</v>
      </c>
      <c r="P66" s="9">
        <v>0.29075837986819664</v>
      </c>
      <c r="Q66" s="9">
        <v>0.2591704928875222</v>
      </c>
      <c r="R66" s="9"/>
      <c r="S66" s="9"/>
      <c r="T66" s="9"/>
      <c r="U66" s="9"/>
      <c r="V66" s="9"/>
    </row>
    <row r="67" spans="1:22">
      <c r="A67" s="11" t="s">
        <v>36</v>
      </c>
      <c r="B67" s="6" t="s">
        <v>95</v>
      </c>
      <c r="C67" s="9">
        <v>0.47714579513236788</v>
      </c>
      <c r="D67" s="9">
        <v>0.44482335138110951</v>
      </c>
      <c r="E67" s="9">
        <v>0.41962885330315486</v>
      </c>
      <c r="F67" s="9">
        <v>0.4256677635185937</v>
      </c>
      <c r="G67" s="9">
        <v>0.42790331646703383</v>
      </c>
      <c r="H67" s="9">
        <v>0.40626963981842468</v>
      </c>
      <c r="I67" s="9">
        <v>0.38976585446998502</v>
      </c>
      <c r="J67" s="9">
        <v>0.36713618691682814</v>
      </c>
      <c r="K67" s="9">
        <v>0.38041143178739201</v>
      </c>
      <c r="L67" s="9">
        <v>0.37197401845179318</v>
      </c>
      <c r="M67" s="9">
        <v>0.34481684843422544</v>
      </c>
      <c r="N67" s="9">
        <v>0.31983247539573745</v>
      </c>
      <c r="O67" s="9">
        <v>0.30768173069390525</v>
      </c>
      <c r="P67" s="9">
        <v>0.30614901995407046</v>
      </c>
      <c r="Q67" s="9">
        <v>0.27365403658138643</v>
      </c>
      <c r="R67" s="9"/>
      <c r="S67" s="9"/>
      <c r="T67" s="9"/>
      <c r="U67" s="9"/>
      <c r="V67" s="9"/>
    </row>
    <row r="68" spans="1:22">
      <c r="A68" s="13" t="s">
        <v>36</v>
      </c>
      <c r="B68" s="14" t="s">
        <v>96</v>
      </c>
      <c r="C68" s="15">
        <v>0.46606045299305104</v>
      </c>
      <c r="D68" s="15">
        <v>0.42282895804517617</v>
      </c>
      <c r="E68" s="15">
        <v>0.40212268613366853</v>
      </c>
      <c r="F68" s="15">
        <v>0.40533503184457331</v>
      </c>
      <c r="G68" s="15">
        <v>0.40756420627452167</v>
      </c>
      <c r="H68" s="15">
        <v>0.39368036941062384</v>
      </c>
      <c r="I68" s="15">
        <v>0.40125227846326755</v>
      </c>
      <c r="J68" s="15">
        <v>0.38148290488699382</v>
      </c>
      <c r="K68" s="15">
        <v>0.37721638446930533</v>
      </c>
      <c r="L68" s="15">
        <v>0.35692600055792184</v>
      </c>
      <c r="M68" s="15">
        <v>0.34167012708298461</v>
      </c>
      <c r="N68" s="15">
        <v>0.31052843986283524</v>
      </c>
      <c r="O68" s="15">
        <v>0.30120537653622093</v>
      </c>
      <c r="P68" s="15">
        <v>0.30749082024166635</v>
      </c>
      <c r="Q68" s="15">
        <v>0.28418851503160947</v>
      </c>
      <c r="R68" s="15"/>
      <c r="S68" s="15"/>
      <c r="T68" s="15"/>
      <c r="U68" s="15"/>
      <c r="V68" s="15"/>
    </row>
    <row r="69" spans="1:22">
      <c r="A69" s="11" t="s">
        <v>37</v>
      </c>
      <c r="B69" s="6" t="s">
        <v>97</v>
      </c>
      <c r="C69" s="9">
        <v>0.53177166816990218</v>
      </c>
      <c r="D69" s="9">
        <v>0.52694039676546611</v>
      </c>
      <c r="E69" s="9">
        <v>0.53783155700569496</v>
      </c>
      <c r="F69" s="9">
        <v>0.56861093899067949</v>
      </c>
      <c r="G69" s="9">
        <v>0.566982042483413</v>
      </c>
      <c r="H69" s="9">
        <v>0.56268497785377924</v>
      </c>
      <c r="I69" s="9">
        <v>0.54822338751915978</v>
      </c>
      <c r="J69" s="9">
        <v>0.52762976293350161</v>
      </c>
      <c r="K69" s="9">
        <v>0.52548636343721411</v>
      </c>
      <c r="L69" s="9">
        <v>0.51408970051301961</v>
      </c>
      <c r="M69" s="9">
        <v>0.48373041022443602</v>
      </c>
      <c r="N69" s="9">
        <v>0.49413560310005794</v>
      </c>
      <c r="O69" s="9">
        <v>0.48132107786210082</v>
      </c>
      <c r="P69" s="9">
        <v>0.47410587205158516</v>
      </c>
      <c r="Q69" s="9">
        <v>0.47788756367362184</v>
      </c>
      <c r="R69" s="9">
        <v>0.46104306769014736</v>
      </c>
      <c r="S69" s="9">
        <v>0.46216376981303564</v>
      </c>
      <c r="T69" s="9">
        <v>0.45352270791803823</v>
      </c>
      <c r="U69" s="9">
        <v>0.45937795362591832</v>
      </c>
      <c r="V69" s="9">
        <v>0.45155381496575681</v>
      </c>
    </row>
    <row r="70" spans="1:22">
      <c r="A70" s="11" t="s">
        <v>37</v>
      </c>
      <c r="B70" s="6" t="s">
        <v>98</v>
      </c>
      <c r="C70" s="9">
        <v>0.55416067692453652</v>
      </c>
      <c r="D70" s="9">
        <v>0.54494464289502931</v>
      </c>
      <c r="E70" s="9">
        <v>0.56667865303029696</v>
      </c>
      <c r="F70" s="9">
        <v>0.5669870275366049</v>
      </c>
      <c r="G70" s="9">
        <v>0.59331786387715979</v>
      </c>
      <c r="H70" s="9">
        <v>0.5735471955396434</v>
      </c>
      <c r="I70" s="9">
        <v>0.56578001908300679</v>
      </c>
      <c r="J70" s="9">
        <v>0.5411438668570786</v>
      </c>
      <c r="K70" s="9">
        <v>0.51901482333993554</v>
      </c>
      <c r="L70" s="9">
        <v>0.5013140832125762</v>
      </c>
      <c r="M70" s="9">
        <v>0.48703668197647931</v>
      </c>
      <c r="N70" s="9">
        <v>0.4925794154807332</v>
      </c>
      <c r="O70" s="9">
        <v>0.47582802440776184</v>
      </c>
      <c r="P70" s="9">
        <v>0.46454905401069974</v>
      </c>
      <c r="Q70" s="9">
        <v>0.48128425731603708</v>
      </c>
      <c r="R70" s="9">
        <v>0.4625509263073323</v>
      </c>
      <c r="S70" s="9">
        <v>0.46731620521836786</v>
      </c>
      <c r="T70" s="9">
        <v>0.46169611276468497</v>
      </c>
      <c r="U70" s="9">
        <v>0.45964168867780469</v>
      </c>
      <c r="V70" s="9">
        <v>0.45584133987549341</v>
      </c>
    </row>
    <row r="71" spans="1:22">
      <c r="A71" s="11" t="s">
        <v>37</v>
      </c>
      <c r="B71" s="6" t="s">
        <v>99</v>
      </c>
      <c r="C71" s="9">
        <v>0.56603501200278983</v>
      </c>
      <c r="D71" s="9">
        <v>0.55640821632792359</v>
      </c>
      <c r="E71" s="9">
        <v>0.58557364835490067</v>
      </c>
      <c r="F71" s="9">
        <v>0.57244020994694012</v>
      </c>
      <c r="G71" s="9">
        <v>0.57756335703435802</v>
      </c>
      <c r="H71" s="9">
        <v>0.57345411950806791</v>
      </c>
      <c r="I71" s="9">
        <v>0.5612659187008554</v>
      </c>
      <c r="J71" s="9">
        <v>0.53655700659705796</v>
      </c>
      <c r="K71" s="9">
        <v>0.52539803821156528</v>
      </c>
      <c r="L71" s="9">
        <v>0.51638793332073907</v>
      </c>
      <c r="M71" s="9">
        <v>0.49612304040451549</v>
      </c>
      <c r="N71" s="9">
        <v>0.49990205289924877</v>
      </c>
      <c r="O71" s="9">
        <v>0.48835461392550894</v>
      </c>
      <c r="P71" s="9">
        <v>0.48964713979385355</v>
      </c>
      <c r="Q71" s="9">
        <v>0.48709595048127924</v>
      </c>
      <c r="R71" s="9">
        <v>0.47573828022905446</v>
      </c>
      <c r="S71" s="9">
        <v>0.4834223244744914</v>
      </c>
      <c r="T71" s="9">
        <v>0.48386159182425176</v>
      </c>
      <c r="U71" s="9">
        <v>0.49295678795360331</v>
      </c>
      <c r="V71" s="9">
        <v>0.48584199614979046</v>
      </c>
    </row>
    <row r="72" spans="1:22">
      <c r="A72" s="11" t="s">
        <v>37</v>
      </c>
      <c r="B72" s="6" t="s">
        <v>100</v>
      </c>
      <c r="C72" s="9">
        <v>0.55214197948570676</v>
      </c>
      <c r="D72" s="9">
        <v>0.55331519759151992</v>
      </c>
      <c r="E72" s="9">
        <v>0.57351210058864888</v>
      </c>
      <c r="F72" s="9">
        <v>0.58024697043115669</v>
      </c>
      <c r="G72" s="9">
        <v>0.58215010400937894</v>
      </c>
      <c r="H72" s="9">
        <v>0.5852016595785321</v>
      </c>
      <c r="I72" s="9">
        <v>0.57749852167394344</v>
      </c>
      <c r="J72" s="9">
        <v>0.55002758755819359</v>
      </c>
      <c r="K72" s="9">
        <v>0.53266873459521635</v>
      </c>
      <c r="L72" s="9">
        <v>0.51415289094346772</v>
      </c>
      <c r="M72" s="9">
        <v>0.50152050766450584</v>
      </c>
      <c r="N72" s="9">
        <v>0.49561072910871007</v>
      </c>
      <c r="O72" s="9">
        <v>0.48503269837456975</v>
      </c>
      <c r="P72" s="9">
        <v>0.47994500527366157</v>
      </c>
      <c r="Q72" s="9">
        <v>0.49470614123755163</v>
      </c>
      <c r="R72" s="9">
        <v>0.47565937131281333</v>
      </c>
      <c r="S72" s="9">
        <v>0.48798074908742961</v>
      </c>
      <c r="T72" s="9">
        <v>0.48636534608337961</v>
      </c>
      <c r="U72" s="9">
        <v>0.49205738870437427</v>
      </c>
      <c r="V72" s="9">
        <v>0.48233623685877935</v>
      </c>
    </row>
    <row r="73" spans="1:22">
      <c r="A73" s="11" t="s">
        <v>37</v>
      </c>
      <c r="B73" s="6" t="s">
        <v>101</v>
      </c>
      <c r="C73" s="9">
        <v>0.56955210870566519</v>
      </c>
      <c r="D73" s="9">
        <v>0.56427611377588549</v>
      </c>
      <c r="E73" s="9">
        <v>0.57112023468188178</v>
      </c>
      <c r="F73" s="9">
        <v>0.56963101207861111</v>
      </c>
      <c r="G73" s="9">
        <v>0.57180272370878416</v>
      </c>
      <c r="H73" s="9">
        <v>0.56303279914533855</v>
      </c>
      <c r="I73" s="9">
        <v>0.54931271208658061</v>
      </c>
      <c r="J73" s="9">
        <v>0.5285663502671516</v>
      </c>
      <c r="K73" s="9">
        <v>0.52501976803753436</v>
      </c>
      <c r="L73" s="9">
        <v>0.51446253942784315</v>
      </c>
      <c r="M73" s="9">
        <v>0.49932111924713402</v>
      </c>
      <c r="N73" s="9">
        <v>0.50929529416779029</v>
      </c>
      <c r="O73" s="9">
        <v>0.49214990355302102</v>
      </c>
      <c r="P73" s="9">
        <v>0.49680257727576349</v>
      </c>
      <c r="Q73" s="9">
        <v>0.49761398015400277</v>
      </c>
      <c r="R73" s="9">
        <v>0.48374001296535607</v>
      </c>
      <c r="S73" s="9">
        <v>0.4901278863635195</v>
      </c>
      <c r="T73" s="9">
        <v>0.49011313002308143</v>
      </c>
      <c r="U73" s="9">
        <v>0.48067828726386497</v>
      </c>
      <c r="V73" s="9">
        <v>0.48283940099761874</v>
      </c>
    </row>
    <row r="74" spans="1:22">
      <c r="A74" s="11" t="s">
        <v>37</v>
      </c>
      <c r="B74" s="6" t="s">
        <v>102</v>
      </c>
      <c r="C74" s="9">
        <v>0.57104377807258966</v>
      </c>
      <c r="D74" s="9">
        <v>0.55635646199385191</v>
      </c>
      <c r="E74" s="9">
        <v>0.56811618601416669</v>
      </c>
      <c r="F74" s="9">
        <v>0.57268999600892778</v>
      </c>
      <c r="G74" s="9">
        <v>0.56738301159228766</v>
      </c>
      <c r="H74" s="9">
        <v>0.56885168603160863</v>
      </c>
      <c r="I74" s="9">
        <v>0.55640127615232404</v>
      </c>
      <c r="J74" s="9">
        <v>0.53613242256685367</v>
      </c>
      <c r="K74" s="9">
        <v>0.52616402170186161</v>
      </c>
      <c r="L74" s="9">
        <v>0.50677051606108736</v>
      </c>
      <c r="M74" s="9">
        <v>0.49064374499474622</v>
      </c>
      <c r="N74" s="9">
        <v>0.49441482082427196</v>
      </c>
      <c r="O74" s="9">
        <v>0.47880054179177106</v>
      </c>
      <c r="P74" s="9">
        <v>0.47724585710128264</v>
      </c>
      <c r="Q74" s="9">
        <v>0.4766293106994911</v>
      </c>
      <c r="R74" s="9">
        <v>0.46177123734080361</v>
      </c>
      <c r="S74" s="9">
        <v>0.46399662755898302</v>
      </c>
      <c r="T74" s="9">
        <v>0.46529914748805001</v>
      </c>
      <c r="U74" s="9">
        <v>0.47364119732433912</v>
      </c>
      <c r="V74" s="9">
        <v>0.4599570544564065</v>
      </c>
    </row>
    <row r="75" spans="1:22">
      <c r="A75" s="11" t="s">
        <v>37</v>
      </c>
      <c r="B75" s="6" t="s">
        <v>103</v>
      </c>
      <c r="C75" s="9">
        <v>0.5514512718797322</v>
      </c>
      <c r="D75" s="9">
        <v>0.55946695555642889</v>
      </c>
      <c r="E75" s="9">
        <v>0.56976818058001433</v>
      </c>
      <c r="F75" s="9">
        <v>0.58663382932836194</v>
      </c>
      <c r="G75" s="9">
        <v>0.54285066316344566</v>
      </c>
      <c r="H75" s="9">
        <v>0.58351546927687592</v>
      </c>
      <c r="I75" s="9">
        <v>0.57684818121341452</v>
      </c>
      <c r="J75" s="9">
        <v>0.55142899225072195</v>
      </c>
      <c r="K75" s="9">
        <v>0.54309511553590195</v>
      </c>
      <c r="L75" s="9">
        <v>0.50380506319069751</v>
      </c>
      <c r="M75" s="9">
        <v>0.50170421679084998</v>
      </c>
      <c r="N75" s="9">
        <v>0.48829930048344405</v>
      </c>
      <c r="O75" s="9">
        <v>0.49200451461991646</v>
      </c>
      <c r="P75" s="9">
        <v>0.47652300636535277</v>
      </c>
      <c r="Q75" s="9">
        <v>0.49043056612016384</v>
      </c>
      <c r="R75" s="9">
        <v>0.47317092265313992</v>
      </c>
      <c r="S75" s="9">
        <v>0.48247005765260292</v>
      </c>
      <c r="T75" s="9">
        <v>0.49054024837359833</v>
      </c>
      <c r="U75" s="9">
        <v>0.50235734593121562</v>
      </c>
      <c r="V75" s="9">
        <v>0.48956370053438752</v>
      </c>
    </row>
    <row r="76" spans="1:22">
      <c r="A76" s="11" t="s">
        <v>37</v>
      </c>
      <c r="B76" s="6" t="s">
        <v>104</v>
      </c>
      <c r="C76" s="9">
        <v>0.55992917976660905</v>
      </c>
      <c r="D76" s="9">
        <v>0.5562251859490821</v>
      </c>
      <c r="E76" s="9">
        <v>0.56852495194719688</v>
      </c>
      <c r="F76" s="9">
        <v>0.57759642538208966</v>
      </c>
      <c r="G76" s="9">
        <v>0.55346364619134913</v>
      </c>
      <c r="H76" s="9">
        <v>0.57152073139733406</v>
      </c>
      <c r="I76" s="9">
        <v>0.55984645025320656</v>
      </c>
      <c r="J76" s="9">
        <v>0.54193597463815368</v>
      </c>
      <c r="K76" s="9">
        <v>0.52872315454918128</v>
      </c>
      <c r="L76" s="9">
        <v>0.49413917135993796</v>
      </c>
      <c r="M76" s="9">
        <v>0.49234374525320379</v>
      </c>
      <c r="N76" s="9">
        <v>0.48452522095422107</v>
      </c>
      <c r="O76" s="9">
        <v>0.48061095356033962</v>
      </c>
      <c r="P76" s="9">
        <v>0.4661078025929285</v>
      </c>
      <c r="Q76" s="9">
        <v>0.48059195486997364</v>
      </c>
      <c r="R76" s="9">
        <v>0.4631038833524575</v>
      </c>
      <c r="S76" s="9">
        <v>0.4677748031760815</v>
      </c>
      <c r="T76" s="9">
        <v>0.47205808257306903</v>
      </c>
      <c r="U76" s="9">
        <v>0.48253163383669162</v>
      </c>
      <c r="V76" s="9">
        <v>0.46978597171704084</v>
      </c>
    </row>
    <row r="77" spans="1:22">
      <c r="A77" s="11" t="s">
        <v>37</v>
      </c>
      <c r="B77" s="6" t="s">
        <v>105</v>
      </c>
      <c r="C77" s="9">
        <v>0.5620371246990723</v>
      </c>
      <c r="D77" s="9">
        <v>0.54920676969390314</v>
      </c>
      <c r="E77" s="9">
        <v>0.57734473878554871</v>
      </c>
      <c r="F77" s="9">
        <v>0.56298897103334977</v>
      </c>
      <c r="G77" s="9">
        <v>0.55850274424343815</v>
      </c>
      <c r="H77" s="9">
        <v>0.55868345126970631</v>
      </c>
      <c r="I77" s="9">
        <v>0.54347256935538202</v>
      </c>
      <c r="J77" s="9">
        <v>0.52412608473940858</v>
      </c>
      <c r="K77" s="9">
        <v>0.51618264366739097</v>
      </c>
      <c r="L77" s="9">
        <v>0.50853197400716832</v>
      </c>
      <c r="M77" s="9">
        <v>0.48304511604636791</v>
      </c>
      <c r="N77" s="9">
        <v>0.49125312662768206</v>
      </c>
      <c r="O77" s="9">
        <v>0.4790819308598368</v>
      </c>
      <c r="P77" s="9">
        <v>0.48201264974189656</v>
      </c>
      <c r="Q77" s="9">
        <v>0.48266079097906334</v>
      </c>
      <c r="R77" s="9">
        <v>0.47733065269855596</v>
      </c>
      <c r="S77" s="9">
        <v>0.47897089834308865</v>
      </c>
      <c r="T77" s="9">
        <v>0.48672232173992042</v>
      </c>
      <c r="U77" s="9">
        <v>0.47501651244863513</v>
      </c>
      <c r="V77" s="9">
        <v>0.47288451186604841</v>
      </c>
    </row>
    <row r="78" spans="1:22">
      <c r="A78" s="11" t="s">
        <v>37</v>
      </c>
      <c r="B78" s="6" t="s">
        <v>106</v>
      </c>
      <c r="C78" s="9">
        <v>0.53101578007970329</v>
      </c>
      <c r="D78" s="9">
        <v>0.52882932139078198</v>
      </c>
      <c r="E78" s="9">
        <v>0.53846340028523954</v>
      </c>
      <c r="F78" s="9">
        <v>0.56382943936065211</v>
      </c>
      <c r="G78" s="9">
        <v>0.55863031609779923</v>
      </c>
      <c r="H78" s="9">
        <v>0.55241972140636164</v>
      </c>
      <c r="I78" s="9">
        <v>0.52881054407403549</v>
      </c>
      <c r="J78" s="9">
        <v>0.51062556961795613</v>
      </c>
      <c r="K78" s="9">
        <v>0.51260554844013484</v>
      </c>
      <c r="L78" s="9">
        <v>0.50189816230725015</v>
      </c>
      <c r="M78" s="9">
        <v>0.48236432608111868</v>
      </c>
      <c r="N78" s="9">
        <v>0.48994327623842771</v>
      </c>
      <c r="O78" s="9">
        <v>0.48006738757211631</v>
      </c>
      <c r="P78" s="9">
        <v>0.47237883981768014</v>
      </c>
      <c r="Q78" s="9">
        <v>0.46705586847886216</v>
      </c>
      <c r="R78" s="9">
        <v>0.45794992643159815</v>
      </c>
      <c r="S78" s="9">
        <v>0.46377578679958004</v>
      </c>
      <c r="T78" s="9">
        <v>0.45571202861137883</v>
      </c>
      <c r="U78" s="9">
        <v>0.45734797825085755</v>
      </c>
      <c r="V78" s="9">
        <v>0.44875685790852521</v>
      </c>
    </row>
    <row r="79" spans="1:22">
      <c r="A79" s="11" t="s">
        <v>37</v>
      </c>
      <c r="B79" s="6" t="s">
        <v>107</v>
      </c>
      <c r="C79" s="9">
        <v>0.54873547098470421</v>
      </c>
      <c r="D79" s="9">
        <v>0.54830390008120877</v>
      </c>
      <c r="E79" s="9">
        <v>0.57394809372161248</v>
      </c>
      <c r="F79" s="9">
        <v>0.57912237262334065</v>
      </c>
      <c r="G79" s="9">
        <v>0.58333957132323144</v>
      </c>
      <c r="H79" s="9">
        <v>0.57446566173871227</v>
      </c>
      <c r="I79" s="9">
        <v>0.56477126573067438</v>
      </c>
      <c r="J79" s="9">
        <v>0.54003662107912487</v>
      </c>
      <c r="K79" s="9">
        <v>0.52086692912786337</v>
      </c>
      <c r="L79" s="9">
        <v>0.51302688537778873</v>
      </c>
      <c r="M79" s="9">
        <v>0.49540010331645601</v>
      </c>
      <c r="N79" s="9">
        <v>0.4828294143877041</v>
      </c>
      <c r="O79" s="9">
        <v>0.4706144119571079</v>
      </c>
      <c r="P79" s="9">
        <v>0.46523718544679321</v>
      </c>
      <c r="Q79" s="9">
        <v>0.49164175518100683</v>
      </c>
      <c r="R79" s="9">
        <v>0.4725086957066002</v>
      </c>
      <c r="S79" s="9">
        <v>0.47830333322132884</v>
      </c>
      <c r="T79" s="9">
        <v>0.47283678395857998</v>
      </c>
      <c r="U79" s="9">
        <v>0.4999540905972028</v>
      </c>
      <c r="V79" s="9">
        <v>0.48083067491284209</v>
      </c>
    </row>
    <row r="80" spans="1:22">
      <c r="A80" s="11" t="s">
        <v>37</v>
      </c>
      <c r="B80" s="6" t="s">
        <v>108</v>
      </c>
      <c r="C80" s="9">
        <v>0.54933529492247002</v>
      </c>
      <c r="D80" s="9">
        <v>0.54592853394353114</v>
      </c>
      <c r="E80" s="9">
        <v>0.55708358405949998</v>
      </c>
      <c r="F80" s="9">
        <v>0.56693451999320388</v>
      </c>
      <c r="G80" s="9">
        <v>0.55222031589096554</v>
      </c>
      <c r="H80" s="9">
        <v>0.55907034179719683</v>
      </c>
      <c r="I80" s="9">
        <v>0.55256876843751968</v>
      </c>
      <c r="J80" s="9">
        <v>0.53376661426284366</v>
      </c>
      <c r="K80" s="9">
        <v>0.51866916745037106</v>
      </c>
      <c r="L80" s="9">
        <v>0.49518498776616399</v>
      </c>
      <c r="M80" s="9">
        <v>0.48479867204483568</v>
      </c>
      <c r="N80" s="9">
        <v>0.47845307245247681</v>
      </c>
      <c r="O80" s="9">
        <v>0.47051573421946008</v>
      </c>
      <c r="P80" s="9">
        <v>0.46352723120245959</v>
      </c>
      <c r="Q80" s="9">
        <v>0.47229274261038579</v>
      </c>
      <c r="R80" s="9">
        <v>0.45785244608323661</v>
      </c>
      <c r="S80" s="9">
        <v>0.46293659569034395</v>
      </c>
      <c r="T80" s="9">
        <v>0.46588052092308035</v>
      </c>
      <c r="U80" s="9">
        <v>0.46702014388156382</v>
      </c>
      <c r="V80" s="9">
        <v>0.46233562434455761</v>
      </c>
    </row>
    <row r="81" spans="1:22">
      <c r="A81" s="11" t="s">
        <v>37</v>
      </c>
      <c r="B81" s="6" t="s">
        <v>109</v>
      </c>
      <c r="C81" s="9">
        <v>0.53478261981098929</v>
      </c>
      <c r="D81" s="9">
        <v>0.53241057738863551</v>
      </c>
      <c r="E81" s="9">
        <v>0.54246132260997248</v>
      </c>
      <c r="F81" s="9">
        <v>0.57584835932434542</v>
      </c>
      <c r="G81" s="9">
        <v>0.57327030307831495</v>
      </c>
      <c r="H81" s="9">
        <v>0.57102031423291255</v>
      </c>
      <c r="I81" s="9">
        <v>0.55593858164929133</v>
      </c>
      <c r="J81" s="9">
        <v>0.53478850139757705</v>
      </c>
      <c r="K81" s="9">
        <v>0.53077863101406753</v>
      </c>
      <c r="L81" s="9">
        <v>0.51851064816409609</v>
      </c>
      <c r="M81" s="9">
        <v>0.49625925409280242</v>
      </c>
      <c r="N81" s="9">
        <v>0.50268655130535733</v>
      </c>
      <c r="O81" s="9">
        <v>0.49078031864654204</v>
      </c>
      <c r="P81" s="9">
        <v>0.47611235249930267</v>
      </c>
      <c r="Q81" s="9">
        <v>0.47685247032332001</v>
      </c>
      <c r="R81" s="9">
        <v>0.46253185789086704</v>
      </c>
      <c r="S81" s="9">
        <v>0.47261105732582626</v>
      </c>
      <c r="T81" s="9">
        <v>0.45944674657169371</v>
      </c>
      <c r="U81" s="9">
        <v>0.46462808950687151</v>
      </c>
      <c r="V81" s="9">
        <v>0.45453701834705068</v>
      </c>
    </row>
    <row r="82" spans="1:22">
      <c r="A82" s="11" t="s">
        <v>37</v>
      </c>
      <c r="B82" s="6" t="s">
        <v>110</v>
      </c>
      <c r="C82" s="9">
        <v>0.51462634012781472</v>
      </c>
      <c r="D82" s="9">
        <v>0.51657011406245168</v>
      </c>
      <c r="E82" s="9">
        <v>0.52552031460624737</v>
      </c>
      <c r="F82" s="9">
        <v>0.5693606580644569</v>
      </c>
      <c r="G82" s="9">
        <v>0.56987553149044956</v>
      </c>
      <c r="H82" s="9">
        <v>0.56260126157731349</v>
      </c>
      <c r="I82" s="9">
        <v>0.55157405793099223</v>
      </c>
      <c r="J82" s="9">
        <v>0.53155438946270317</v>
      </c>
      <c r="K82" s="9">
        <v>0.52553187142387048</v>
      </c>
      <c r="L82" s="9">
        <v>0.51708423447864971</v>
      </c>
      <c r="M82" s="9">
        <v>0.49902927326423968</v>
      </c>
      <c r="N82" s="9">
        <v>0.51081404728176005</v>
      </c>
      <c r="O82" s="9">
        <v>0.49711071066408596</v>
      </c>
      <c r="P82" s="9">
        <v>0.49356700820693816</v>
      </c>
      <c r="Q82" s="9">
        <v>0.49085710825668971</v>
      </c>
      <c r="R82" s="9">
        <v>0.48146619175674088</v>
      </c>
      <c r="S82" s="9">
        <v>0.49050636193063973</v>
      </c>
      <c r="T82" s="9">
        <v>0.48918669111570784</v>
      </c>
      <c r="U82" s="9">
        <v>0.48028934328240952</v>
      </c>
      <c r="V82" s="9">
        <v>0.48139745388240068</v>
      </c>
    </row>
    <row r="83" spans="1:22">
      <c r="A83" s="11" t="s">
        <v>37</v>
      </c>
      <c r="B83" s="6" t="s">
        <v>111</v>
      </c>
      <c r="C83" s="9">
        <v>0.5332896605033759</v>
      </c>
      <c r="D83" s="9">
        <v>0.53072462765139383</v>
      </c>
      <c r="E83" s="9">
        <v>0.54089569118640413</v>
      </c>
      <c r="F83" s="9">
        <v>0.57373498333039485</v>
      </c>
      <c r="G83" s="9">
        <v>0.56752901302751546</v>
      </c>
      <c r="H83" s="9">
        <v>0.56031088030195575</v>
      </c>
      <c r="I83" s="9">
        <v>0.5510619334425646</v>
      </c>
      <c r="J83" s="9">
        <v>0.53195259575874643</v>
      </c>
      <c r="K83" s="9">
        <v>0.52320783323255837</v>
      </c>
      <c r="L83" s="9">
        <v>0.51665220084566366</v>
      </c>
      <c r="M83" s="9">
        <v>0.49265971439758449</v>
      </c>
      <c r="N83" s="9">
        <v>0.5069825416132191</v>
      </c>
      <c r="O83" s="9">
        <v>0.49417103575088328</v>
      </c>
      <c r="P83" s="9">
        <v>0.49150976151110526</v>
      </c>
      <c r="Q83" s="9">
        <v>0.48356278911923495</v>
      </c>
      <c r="R83" s="9">
        <v>0.47249945402673732</v>
      </c>
      <c r="S83" s="9">
        <v>0.48121236860175221</v>
      </c>
      <c r="T83" s="9">
        <v>0.47327031050660928</v>
      </c>
      <c r="U83" s="9">
        <v>0.46679844183813646</v>
      </c>
      <c r="V83" s="9">
        <v>0.4684847438293071</v>
      </c>
    </row>
    <row r="84" spans="1:22">
      <c r="A84" s="11" t="s">
        <v>37</v>
      </c>
      <c r="B84" s="6" t="s">
        <v>112</v>
      </c>
      <c r="C84" s="9">
        <v>0.54485477164139806</v>
      </c>
      <c r="D84" s="9">
        <v>0.54137286377038374</v>
      </c>
      <c r="E84" s="9">
        <v>0.55824787447050794</v>
      </c>
      <c r="F84" s="9">
        <v>0.57119671926307447</v>
      </c>
      <c r="G84" s="9">
        <v>0.57627498023834178</v>
      </c>
      <c r="H84" s="9">
        <v>0.57135703077802424</v>
      </c>
      <c r="I84" s="9">
        <v>0.56405608160872822</v>
      </c>
      <c r="J84" s="9">
        <v>0.53901668463884445</v>
      </c>
      <c r="K84" s="9">
        <v>0.52337200317721222</v>
      </c>
      <c r="L84" s="9">
        <v>0.51475178567724245</v>
      </c>
      <c r="M84" s="9">
        <v>0.49670175082981027</v>
      </c>
      <c r="N84" s="9">
        <v>0.49761972264642634</v>
      </c>
      <c r="O84" s="9">
        <v>0.49149433173456908</v>
      </c>
      <c r="P84" s="9">
        <v>0.48775095004624641</v>
      </c>
      <c r="Q84" s="9">
        <v>0.49620401545117576</v>
      </c>
      <c r="R84" s="9">
        <v>0.47986576366460271</v>
      </c>
      <c r="S84" s="9">
        <v>0.48768381664506594</v>
      </c>
      <c r="T84" s="9">
        <v>0.50877764191636621</v>
      </c>
      <c r="U84" s="9">
        <v>0.47957242722007065</v>
      </c>
      <c r="V84" s="9">
        <v>0.48382892036510222</v>
      </c>
    </row>
    <row r="85" spans="1:22">
      <c r="A85" s="11" t="s">
        <v>37</v>
      </c>
      <c r="B85" s="6" t="s">
        <v>113</v>
      </c>
      <c r="C85" s="9">
        <v>0.58587140497731682</v>
      </c>
      <c r="D85" s="9">
        <v>0.58053320713276058</v>
      </c>
      <c r="E85" s="9">
        <v>0.59265039432548738</v>
      </c>
      <c r="F85" s="9">
        <v>0.57261854408061275</v>
      </c>
      <c r="G85" s="9">
        <v>0.57079855323784912</v>
      </c>
      <c r="H85" s="9">
        <v>0.56904665165296531</v>
      </c>
      <c r="I85" s="9">
        <v>0.54388011071555076</v>
      </c>
      <c r="J85" s="9">
        <v>0.52173988508697577</v>
      </c>
      <c r="K85" s="9">
        <v>0.52341313567015924</v>
      </c>
      <c r="L85" s="9">
        <v>0.51136084676278504</v>
      </c>
      <c r="M85" s="9">
        <v>0.48822887559547901</v>
      </c>
      <c r="N85" s="9">
        <v>0.50613677137653357</v>
      </c>
      <c r="O85" s="9">
        <v>0.48788402970364153</v>
      </c>
      <c r="P85" s="9">
        <v>0.4875189982123791</v>
      </c>
      <c r="Q85" s="9">
        <v>0.49360401733886872</v>
      </c>
      <c r="R85" s="9">
        <v>0.48330654977799026</v>
      </c>
      <c r="S85" s="9">
        <v>0.48870542110628157</v>
      </c>
      <c r="T85" s="9">
        <v>0.48892356190661712</v>
      </c>
      <c r="U85" s="9">
        <v>0.48350816936543767</v>
      </c>
      <c r="V85" s="9">
        <v>0.48645268084853793</v>
      </c>
    </row>
    <row r="86" spans="1:22">
      <c r="A86" s="11" t="s">
        <v>37</v>
      </c>
      <c r="B86" s="6" t="s">
        <v>114</v>
      </c>
      <c r="C86" s="9">
        <v>0.51947039860966948</v>
      </c>
      <c r="D86" s="9">
        <v>0.5201058260836261</v>
      </c>
      <c r="E86" s="9">
        <v>0.53294189454183372</v>
      </c>
      <c r="F86" s="9">
        <v>0.56537845658101649</v>
      </c>
      <c r="G86" s="9">
        <v>0.56728128706910086</v>
      </c>
      <c r="H86" s="9">
        <v>0.56449057449689222</v>
      </c>
      <c r="I86" s="9">
        <v>0.55243955662159572</v>
      </c>
      <c r="J86" s="9">
        <v>0.53022249069993055</v>
      </c>
      <c r="K86" s="9">
        <v>0.5263043701243233</v>
      </c>
      <c r="L86" s="9">
        <v>0.51577818689779464</v>
      </c>
      <c r="M86" s="9">
        <v>0.49738347653952514</v>
      </c>
      <c r="N86" s="9">
        <v>0.50319487260363016</v>
      </c>
      <c r="O86" s="9">
        <v>0.49474834715363991</v>
      </c>
      <c r="P86" s="9">
        <v>0.48909977836945312</v>
      </c>
      <c r="Q86" s="9">
        <v>0.48618736582381505</v>
      </c>
      <c r="R86" s="9">
        <v>0.4716364284194684</v>
      </c>
      <c r="S86" s="9">
        <v>0.48575881962521233</v>
      </c>
      <c r="T86" s="9">
        <v>0.47727674665889025</v>
      </c>
      <c r="U86" s="9">
        <v>0.4732836917249777</v>
      </c>
      <c r="V86" s="9">
        <v>0.46870693554387094</v>
      </c>
    </row>
    <row r="87" spans="1:22" s="51" customFormat="1">
      <c r="A87" s="13" t="s">
        <v>37</v>
      </c>
      <c r="B87" s="14" t="s">
        <v>115</v>
      </c>
      <c r="C87" s="15">
        <v>0.53834157854714604</v>
      </c>
      <c r="D87" s="15">
        <v>0.5367886170950863</v>
      </c>
      <c r="E87" s="15">
        <v>0.54669342045443559</v>
      </c>
      <c r="F87" s="15">
        <v>0.57664074794688402</v>
      </c>
      <c r="G87" s="15">
        <v>0.57205204866284576</v>
      </c>
      <c r="H87" s="15">
        <v>0.57057367687813909</v>
      </c>
      <c r="I87" s="15">
        <v>0.56120196675744971</v>
      </c>
      <c r="J87" s="15">
        <v>0.53683273123039854</v>
      </c>
      <c r="K87" s="15">
        <v>0.53018132608733004</v>
      </c>
      <c r="L87" s="15">
        <v>0.51767533456678527</v>
      </c>
      <c r="M87" s="15">
        <v>0.5020113207516208</v>
      </c>
      <c r="N87" s="15">
        <v>0.50907168566638628</v>
      </c>
      <c r="O87" s="15">
        <v>0.49811436908448387</v>
      </c>
      <c r="P87" s="15">
        <v>0.49403092409665633</v>
      </c>
      <c r="Q87" s="15">
        <v>0.48668892377918965</v>
      </c>
      <c r="R87" s="15">
        <v>0.4773022364131087</v>
      </c>
      <c r="S87" s="15">
        <v>0.48745487701417844</v>
      </c>
      <c r="T87" s="15">
        <v>0.48675227495759471</v>
      </c>
      <c r="U87" s="15">
        <v>0.4805542619753172</v>
      </c>
      <c r="V87" s="15">
        <v>0.48204270727252047</v>
      </c>
    </row>
    <row r="88" spans="1:22">
      <c r="A88" s="11" t="s">
        <v>38</v>
      </c>
      <c r="B88" s="6" t="s">
        <v>116</v>
      </c>
      <c r="C88" s="9">
        <v>0.57755845114928872</v>
      </c>
      <c r="D88" s="9">
        <v>0.57993886240258352</v>
      </c>
      <c r="E88" s="9">
        <v>0.57996613480266956</v>
      </c>
      <c r="F88" s="9">
        <v>0.55802988654801677</v>
      </c>
      <c r="G88" s="9">
        <v>0.53651939435115814</v>
      </c>
      <c r="H88" s="9">
        <v>0.53090721306874666</v>
      </c>
      <c r="I88" s="9">
        <v>0.5298738209754249</v>
      </c>
      <c r="J88" s="9">
        <v>0.51923332248520848</v>
      </c>
      <c r="K88" s="9">
        <v>0.52340772436760774</v>
      </c>
      <c r="L88" s="9">
        <v>0.50869896168996687</v>
      </c>
      <c r="M88" s="9">
        <v>0.4776261830632722</v>
      </c>
      <c r="N88" s="9">
        <v>0.48300321065300217</v>
      </c>
      <c r="O88" s="9">
        <v>0.47070174205041432</v>
      </c>
      <c r="P88" s="9">
        <v>0.46648912032451584</v>
      </c>
      <c r="Q88" s="9">
        <v>0.45183881236967954</v>
      </c>
      <c r="R88" s="9">
        <v>0.46765534479760817</v>
      </c>
      <c r="S88" s="9">
        <v>0.448382396082386</v>
      </c>
      <c r="T88" s="9">
        <v>0.45375095212574523</v>
      </c>
      <c r="U88" s="9">
        <v>0.44543644485362044</v>
      </c>
      <c r="V88" s="9">
        <v>0.44822535781720557</v>
      </c>
    </row>
    <row r="89" spans="1:22">
      <c r="A89" s="11" t="s">
        <v>38</v>
      </c>
      <c r="B89" s="6" t="s">
        <v>117</v>
      </c>
      <c r="C89" s="9">
        <v>0.44813625218399705</v>
      </c>
      <c r="D89" s="9">
        <v>0.43186137169511629</v>
      </c>
      <c r="E89" s="9">
        <v>0.4511582187177417</v>
      </c>
      <c r="F89" s="9">
        <v>0.43310182526601743</v>
      </c>
      <c r="G89" s="9">
        <v>0.42603339342282526</v>
      </c>
      <c r="H89" s="9">
        <v>0.43259309349794151</v>
      </c>
      <c r="I89" s="9">
        <v>0.44729738594802887</v>
      </c>
      <c r="J89" s="9">
        <v>0.44167969845262645</v>
      </c>
      <c r="K89" s="9">
        <v>0.43826253035117257</v>
      </c>
      <c r="L89" s="9">
        <v>0.41971347561957112</v>
      </c>
      <c r="M89" s="9">
        <v>0.41219232765339164</v>
      </c>
      <c r="N89" s="9">
        <v>0.40571607594153519</v>
      </c>
      <c r="O89" s="9">
        <v>0.40386845742549238</v>
      </c>
      <c r="P89" s="9">
        <v>0.40178996195988331</v>
      </c>
      <c r="Q89" s="9">
        <v>0.38775988230025649</v>
      </c>
      <c r="R89" s="9">
        <v>0.39068393063608903</v>
      </c>
      <c r="S89" s="9">
        <v>0.37921020434885566</v>
      </c>
      <c r="T89" s="9">
        <v>0.38326252099465485</v>
      </c>
      <c r="U89" s="9">
        <v>0.3745594974760954</v>
      </c>
      <c r="V89" s="9">
        <v>0.36764876785192679</v>
      </c>
    </row>
    <row r="90" spans="1:22">
      <c r="A90" s="11" t="s">
        <v>38</v>
      </c>
      <c r="B90" s="6" t="s">
        <v>118</v>
      </c>
      <c r="C90" s="9">
        <v>0.58566923977213636</v>
      </c>
      <c r="D90" s="9">
        <v>0.58583331821959683</v>
      </c>
      <c r="E90" s="9">
        <v>0.58898921552086514</v>
      </c>
      <c r="F90" s="9">
        <v>0.55735294318991224</v>
      </c>
      <c r="G90" s="9">
        <v>0.54892744081553979</v>
      </c>
      <c r="H90" s="9">
        <v>0.54319163326176845</v>
      </c>
      <c r="I90" s="9">
        <v>0.53938618398525084</v>
      </c>
      <c r="J90" s="9">
        <v>0.52934213213173609</v>
      </c>
      <c r="K90" s="9">
        <v>0.53486847185375685</v>
      </c>
      <c r="L90" s="9">
        <v>0.52257042621849725</v>
      </c>
      <c r="M90" s="9">
        <v>0.49073512267831443</v>
      </c>
      <c r="N90" s="9">
        <v>0.48947681295473983</v>
      </c>
      <c r="O90" s="9">
        <v>0.47568914823875591</v>
      </c>
      <c r="P90" s="9">
        <v>0.47715998204624854</v>
      </c>
      <c r="Q90" s="9">
        <v>0.4572990508078566</v>
      </c>
      <c r="R90" s="9">
        <v>0.47496158530442728</v>
      </c>
      <c r="S90" s="9">
        <v>0.45378854840010163</v>
      </c>
      <c r="T90" s="9">
        <v>0.45811956938669302</v>
      </c>
      <c r="U90" s="9">
        <v>0.45552960286510458</v>
      </c>
      <c r="V90" s="9">
        <v>0.45652493183457798</v>
      </c>
    </row>
    <row r="91" spans="1:22">
      <c r="A91" s="11" t="s">
        <v>38</v>
      </c>
      <c r="B91" s="6" t="s">
        <v>119</v>
      </c>
      <c r="C91" s="9">
        <v>0.44556751897675423</v>
      </c>
      <c r="D91" s="9">
        <v>0.42634197445568911</v>
      </c>
      <c r="E91" s="9">
        <v>0.43205513117612937</v>
      </c>
      <c r="F91" s="9">
        <v>0.4156577967905698</v>
      </c>
      <c r="G91" s="9">
        <v>0.40348870411906063</v>
      </c>
      <c r="H91" s="9">
        <v>0.41485231775428988</v>
      </c>
      <c r="I91" s="9">
        <v>0.4343039233313577</v>
      </c>
      <c r="J91" s="9">
        <v>0.43282735790679339</v>
      </c>
      <c r="K91" s="9">
        <v>0.42785231507905985</v>
      </c>
      <c r="L91" s="9">
        <v>0.4110325921613936</v>
      </c>
      <c r="M91" s="9">
        <v>0.40287314518446049</v>
      </c>
      <c r="N91" s="9">
        <v>0.39620339518347986</v>
      </c>
      <c r="O91" s="9">
        <v>0.39204136059531269</v>
      </c>
      <c r="P91" s="9">
        <v>0.39096125043157265</v>
      </c>
      <c r="Q91" s="9">
        <v>0.37423000263220862</v>
      </c>
      <c r="R91" s="9">
        <v>0.37547714067375565</v>
      </c>
      <c r="S91" s="9">
        <v>0.36407980338922064</v>
      </c>
      <c r="T91" s="9">
        <v>0.3650375101116583</v>
      </c>
      <c r="U91" s="9">
        <v>0.3542596996129872</v>
      </c>
      <c r="V91" s="9">
        <v>0.34952128909060037</v>
      </c>
    </row>
    <row r="92" spans="1:22">
      <c r="A92" s="11" t="s">
        <v>38</v>
      </c>
      <c r="B92" s="6" t="s">
        <v>120</v>
      </c>
      <c r="C92" s="9">
        <v>0.43910189956052387</v>
      </c>
      <c r="D92" s="9">
        <v>0.43592857492748988</v>
      </c>
      <c r="E92" s="9">
        <v>0.44532207697991211</v>
      </c>
      <c r="F92" s="9">
        <v>0.42670729537686203</v>
      </c>
      <c r="G92" s="9">
        <v>0.42171087277775637</v>
      </c>
      <c r="H92" s="9">
        <v>0.43065021718620555</v>
      </c>
      <c r="I92" s="9">
        <v>0.44254553406430136</v>
      </c>
      <c r="J92" s="9">
        <v>0.44553096080055432</v>
      </c>
      <c r="K92" s="9">
        <v>0.44102751431789655</v>
      </c>
      <c r="L92" s="9">
        <v>0.42073524548598218</v>
      </c>
      <c r="M92" s="9">
        <v>0.41157643011587891</v>
      </c>
      <c r="N92" s="9">
        <v>0.40447745064444257</v>
      </c>
      <c r="O92" s="9">
        <v>0.39666626938634381</v>
      </c>
      <c r="P92" s="9">
        <v>0.39609652183367094</v>
      </c>
      <c r="Q92" s="9">
        <v>0.38101527731357221</v>
      </c>
      <c r="R92" s="9">
        <v>0.38174641597055203</v>
      </c>
      <c r="S92" s="9">
        <v>0.37394243701827506</v>
      </c>
      <c r="T92" s="9">
        <v>0.37534147058198408</v>
      </c>
      <c r="U92" s="9">
        <v>0.36884280742537234</v>
      </c>
      <c r="V92" s="9">
        <v>0.36107793147700168</v>
      </c>
    </row>
    <row r="93" spans="1:22">
      <c r="A93" s="11" t="s">
        <v>38</v>
      </c>
      <c r="B93" s="6" t="s">
        <v>121</v>
      </c>
      <c r="C93" s="9">
        <v>0.45164206339501151</v>
      </c>
      <c r="D93" s="9">
        <v>0.44518429625112671</v>
      </c>
      <c r="E93" s="9">
        <v>0.46217512411186856</v>
      </c>
      <c r="F93" s="9">
        <v>0.44005513335670793</v>
      </c>
      <c r="G93" s="9">
        <v>0.44596554947962813</v>
      </c>
      <c r="H93" s="9">
        <v>0.44108616452637073</v>
      </c>
      <c r="I93" s="9">
        <v>0.45960616289788764</v>
      </c>
      <c r="J93" s="9">
        <v>0.44972169800636713</v>
      </c>
      <c r="K93" s="9">
        <v>0.45249060928822976</v>
      </c>
      <c r="L93" s="9">
        <v>0.42800280163010329</v>
      </c>
      <c r="M93" s="9">
        <v>0.42347685050580308</v>
      </c>
      <c r="N93" s="9">
        <v>0.40979136781656877</v>
      </c>
      <c r="O93" s="9">
        <v>0.40954683066576297</v>
      </c>
      <c r="P93" s="9">
        <v>0.41034554184508343</v>
      </c>
      <c r="Q93" s="9">
        <v>0.39664707021364359</v>
      </c>
      <c r="R93" s="9">
        <v>0.39402108179646733</v>
      </c>
      <c r="S93" s="9">
        <v>0.38852994521988543</v>
      </c>
      <c r="T93" s="9">
        <v>0.39268007396117649</v>
      </c>
      <c r="U93" s="9">
        <v>0.38144833674409839</v>
      </c>
      <c r="V93" s="9">
        <v>0.37707442581261369</v>
      </c>
    </row>
    <row r="94" spans="1:22">
      <c r="A94" s="11" t="s">
        <v>38</v>
      </c>
      <c r="B94" s="6" t="s">
        <v>122</v>
      </c>
      <c r="C94" s="9">
        <v>0.50555511105019613</v>
      </c>
      <c r="D94" s="9">
        <v>0.52546004782744815</v>
      </c>
      <c r="E94" s="9">
        <v>0.56787262839788899</v>
      </c>
      <c r="F94" s="9">
        <v>0.5461019217054297</v>
      </c>
      <c r="G94" s="9">
        <v>0.58970908673390798</v>
      </c>
      <c r="H94" s="9">
        <v>0.51992047837612088</v>
      </c>
      <c r="I94" s="9">
        <v>0.51347382154829135</v>
      </c>
      <c r="J94" s="9">
        <v>0.4843653531885283</v>
      </c>
      <c r="K94" s="9">
        <v>0.53090575198132461</v>
      </c>
      <c r="L94" s="9">
        <v>0.48352279723693242</v>
      </c>
      <c r="M94" s="9">
        <v>0.47064488453599923</v>
      </c>
      <c r="N94" s="9">
        <v>0.4500674892634059</v>
      </c>
      <c r="O94" s="9">
        <v>0.45381925444832344</v>
      </c>
      <c r="P94" s="9">
        <v>0.45617656684142083</v>
      </c>
      <c r="Q94" s="9">
        <v>0.45501175487744683</v>
      </c>
      <c r="R94" s="9">
        <v>0.45560456489420181</v>
      </c>
      <c r="S94" s="9">
        <v>0.44971706476790663</v>
      </c>
      <c r="T94" s="9">
        <v>0.44838972911826247</v>
      </c>
      <c r="U94" s="9">
        <v>0.45673491743189737</v>
      </c>
      <c r="V94" s="9">
        <v>0.4612511089597795</v>
      </c>
    </row>
    <row r="95" spans="1:22">
      <c r="A95" s="11" t="s">
        <v>38</v>
      </c>
      <c r="B95" s="6" t="s">
        <v>123</v>
      </c>
      <c r="C95" s="9">
        <v>0.45250238118980141</v>
      </c>
      <c r="D95" s="9">
        <v>0.43660102448249599</v>
      </c>
      <c r="E95" s="9">
        <v>0.44426403405654508</v>
      </c>
      <c r="F95" s="9">
        <v>0.42402934824951422</v>
      </c>
      <c r="G95" s="9">
        <v>0.41306522544796531</v>
      </c>
      <c r="H95" s="9">
        <v>0.42264056537303951</v>
      </c>
      <c r="I95" s="9">
        <v>0.44171205301596667</v>
      </c>
      <c r="J95" s="9">
        <v>0.43802167537845982</v>
      </c>
      <c r="K95" s="9">
        <v>0.4347635506156427</v>
      </c>
      <c r="L95" s="9">
        <v>0.41717015198561674</v>
      </c>
      <c r="M95" s="9">
        <v>0.4058224756408092</v>
      </c>
      <c r="N95" s="9">
        <v>0.40595090046427573</v>
      </c>
      <c r="O95" s="9">
        <v>0.39975184560817179</v>
      </c>
      <c r="P95" s="9">
        <v>0.39720412151259005</v>
      </c>
      <c r="Q95" s="9">
        <v>0.38655292375729189</v>
      </c>
      <c r="R95" s="9">
        <v>0.38896452547832516</v>
      </c>
      <c r="S95" s="9">
        <v>0.37814241804695065</v>
      </c>
      <c r="T95" s="9">
        <v>0.37807509096643888</v>
      </c>
      <c r="U95" s="9">
        <v>0.36619306998257872</v>
      </c>
      <c r="V95" s="9">
        <v>0.36197976617026167</v>
      </c>
    </row>
    <row r="96" spans="1:22">
      <c r="A96" s="11" t="s">
        <v>38</v>
      </c>
      <c r="B96" s="6" t="s">
        <v>124</v>
      </c>
      <c r="C96" s="9">
        <v>0.56626171672188474</v>
      </c>
      <c r="D96" s="9">
        <v>0.56913139259693202</v>
      </c>
      <c r="E96" s="9">
        <v>0.56865240139633177</v>
      </c>
      <c r="F96" s="9">
        <v>0.5454344914526198</v>
      </c>
      <c r="G96" s="9">
        <v>0.52385270055992172</v>
      </c>
      <c r="H96" s="9">
        <v>0.52895481363511876</v>
      </c>
      <c r="I96" s="9">
        <v>0.53288934817946243</v>
      </c>
      <c r="J96" s="9">
        <v>0.51730240898635127</v>
      </c>
      <c r="K96" s="9">
        <v>0.51916887946145973</v>
      </c>
      <c r="L96" s="9">
        <v>0.50553803565333488</v>
      </c>
      <c r="M96" s="9">
        <v>0.47271271586578995</v>
      </c>
      <c r="N96" s="9">
        <v>0.48023813332715681</v>
      </c>
      <c r="O96" s="9">
        <v>0.46478405742778239</v>
      </c>
      <c r="P96" s="9">
        <v>0.46289413796937512</v>
      </c>
      <c r="Q96" s="9">
        <v>0.44053799297810853</v>
      </c>
      <c r="R96" s="9">
        <v>0.46089490383294235</v>
      </c>
      <c r="S96" s="9">
        <v>0.44561637320282182</v>
      </c>
      <c r="T96" s="9">
        <v>0.44723720483349105</v>
      </c>
      <c r="U96" s="9">
        <v>0.44607577434487489</v>
      </c>
      <c r="V96" s="9">
        <v>0.44606573404126659</v>
      </c>
    </row>
    <row r="97" spans="1:22">
      <c r="A97" s="11" t="s">
        <v>38</v>
      </c>
      <c r="B97" s="6" t="s">
        <v>125</v>
      </c>
      <c r="C97" s="9">
        <v>0.5640785393459069</v>
      </c>
      <c r="D97" s="9">
        <v>0.56723449632920586</v>
      </c>
      <c r="E97" s="9">
        <v>0.56840138123388639</v>
      </c>
      <c r="F97" s="9">
        <v>0.54612360968083073</v>
      </c>
      <c r="G97" s="9">
        <v>0.51759454203516408</v>
      </c>
      <c r="H97" s="9">
        <v>0.51851538397476593</v>
      </c>
      <c r="I97" s="9">
        <v>0.51922642606128899</v>
      </c>
      <c r="J97" s="9">
        <v>0.50672592748634471</v>
      </c>
      <c r="K97" s="9">
        <v>0.50452297143618219</v>
      </c>
      <c r="L97" s="9">
        <v>0.49540009063533069</v>
      </c>
      <c r="M97" s="9">
        <v>0.46162475243706702</v>
      </c>
      <c r="N97" s="9">
        <v>0.46981314599360691</v>
      </c>
      <c r="O97" s="9">
        <v>0.45675736928144917</v>
      </c>
      <c r="P97" s="9">
        <v>0.45860809291683963</v>
      </c>
      <c r="Q97" s="9">
        <v>0.439153388794217</v>
      </c>
      <c r="R97" s="9">
        <v>0.46064942102241335</v>
      </c>
      <c r="S97" s="9">
        <v>0.44607892144206035</v>
      </c>
      <c r="T97" s="9">
        <v>0.44403200873593507</v>
      </c>
      <c r="U97" s="9">
        <v>0.44467595167185353</v>
      </c>
      <c r="V97" s="9">
        <v>0.44439107521103144</v>
      </c>
    </row>
    <row r="98" spans="1:22">
      <c r="A98" s="11" t="s">
        <v>38</v>
      </c>
      <c r="B98" s="6" t="s">
        <v>126</v>
      </c>
      <c r="C98" s="9">
        <v>0.48168808822122122</v>
      </c>
      <c r="D98" s="9">
        <v>0.47463871597658103</v>
      </c>
      <c r="E98" s="9">
        <v>0.50229900431797581</v>
      </c>
      <c r="F98" s="9">
        <v>0.48065413668721729</v>
      </c>
      <c r="G98" s="9">
        <v>0.49600014785556745</v>
      </c>
      <c r="H98" s="9">
        <v>0.48017477480421994</v>
      </c>
      <c r="I98" s="9">
        <v>0.48750084008976613</v>
      </c>
      <c r="J98" s="9">
        <v>0.47739187724224219</v>
      </c>
      <c r="K98" s="9">
        <v>0.48708827362759283</v>
      </c>
      <c r="L98" s="9">
        <v>0.46066182630985425</v>
      </c>
      <c r="M98" s="9">
        <v>0.44822387006864828</v>
      </c>
      <c r="N98" s="9">
        <v>0.43904679176510725</v>
      </c>
      <c r="O98" s="9">
        <v>0.43999971660149345</v>
      </c>
      <c r="P98" s="9">
        <v>0.43957069303774671</v>
      </c>
      <c r="Q98" s="9">
        <v>0.42929345017432763</v>
      </c>
      <c r="R98" s="9">
        <v>0.43084247480148191</v>
      </c>
      <c r="S98" s="9">
        <v>0.42477167087353629</v>
      </c>
      <c r="T98" s="9">
        <v>0.42924765148831201</v>
      </c>
      <c r="U98" s="9">
        <v>0.42267748061825194</v>
      </c>
      <c r="V98" s="9">
        <v>0.42202062965908721</v>
      </c>
    </row>
    <row r="99" spans="1:22">
      <c r="A99" s="11" t="s">
        <v>38</v>
      </c>
      <c r="B99" s="6" t="s">
        <v>127</v>
      </c>
      <c r="C99" s="9">
        <v>0.52549305321073836</v>
      </c>
      <c r="D99" s="9">
        <v>0.54044037339589157</v>
      </c>
      <c r="E99" s="9">
        <v>0.55173505442505</v>
      </c>
      <c r="F99" s="9">
        <v>0.53124611962661816</v>
      </c>
      <c r="G99" s="9">
        <v>0.51714758537571459</v>
      </c>
      <c r="H99" s="9">
        <v>0.51932272480374442</v>
      </c>
      <c r="I99" s="9">
        <v>0.52154460626608301</v>
      </c>
      <c r="J99" s="9">
        <v>0.50551198814536114</v>
      </c>
      <c r="K99" s="9">
        <v>0.51508721909470567</v>
      </c>
      <c r="L99" s="9">
        <v>0.48942202204784346</v>
      </c>
      <c r="M99" s="9">
        <v>0.45746163468880718</v>
      </c>
      <c r="N99" s="9">
        <v>0.45207314486987199</v>
      </c>
      <c r="O99" s="9">
        <v>0.44121836409172482</v>
      </c>
      <c r="P99" s="9">
        <v>0.43625012766203281</v>
      </c>
      <c r="Q99" s="9">
        <v>0.4230854369164998</v>
      </c>
      <c r="R99" s="9">
        <v>0.43683879246867735</v>
      </c>
      <c r="S99" s="9">
        <v>0.41894132567130798</v>
      </c>
      <c r="T99" s="9">
        <v>0.42412824158523049</v>
      </c>
      <c r="U99" s="9">
        <v>0.42493724409498468</v>
      </c>
      <c r="V99" s="9">
        <v>0.42607683568406807</v>
      </c>
    </row>
    <row r="100" spans="1:22">
      <c r="A100" s="11" t="s">
        <v>38</v>
      </c>
      <c r="B100" s="6" t="s">
        <v>128</v>
      </c>
      <c r="C100" s="9">
        <v>0.46240381996735958</v>
      </c>
      <c r="D100" s="9">
        <v>0.468850648540793</v>
      </c>
      <c r="E100" s="9">
        <v>0.49576916378391289</v>
      </c>
      <c r="F100" s="9">
        <v>0.48128059696953279</v>
      </c>
      <c r="G100" s="9">
        <v>0.48057790554491003</v>
      </c>
      <c r="H100" s="9">
        <v>0.47893747913893298</v>
      </c>
      <c r="I100" s="9">
        <v>0.4858379290381119</v>
      </c>
      <c r="J100" s="9">
        <v>0.47099486526143758</v>
      </c>
      <c r="K100" s="9">
        <v>0.47492854974299753</v>
      </c>
      <c r="L100" s="9">
        <v>0.4424207758960183</v>
      </c>
      <c r="M100" s="9">
        <v>0.42204100750073437</v>
      </c>
      <c r="N100" s="9">
        <v>0.41869083431740178</v>
      </c>
      <c r="O100" s="9">
        <v>0.42165962708450011</v>
      </c>
      <c r="P100" s="9">
        <v>0.41013030689168611</v>
      </c>
      <c r="Q100" s="9">
        <v>0.40011456602506595</v>
      </c>
      <c r="R100" s="9">
        <v>0.40750351758629327</v>
      </c>
      <c r="S100" s="9">
        <v>0.39307640482336242</v>
      </c>
      <c r="T100" s="9">
        <v>0.39701100735537387</v>
      </c>
      <c r="U100" s="9">
        <v>0.39349383112035702</v>
      </c>
      <c r="V100" s="9">
        <v>0.39206736200597864</v>
      </c>
    </row>
    <row r="101" spans="1:22">
      <c r="A101" s="11" t="s">
        <v>38</v>
      </c>
      <c r="B101" s="6" t="s">
        <v>129</v>
      </c>
      <c r="C101" s="9">
        <v>0.44062502484620358</v>
      </c>
      <c r="D101" s="9">
        <v>0.42476440048283143</v>
      </c>
      <c r="E101" s="9">
        <v>0.43011147886244289</v>
      </c>
      <c r="F101" s="9">
        <v>0.41997438834763973</v>
      </c>
      <c r="G101" s="9">
        <v>0.41057870381731149</v>
      </c>
      <c r="H101" s="9">
        <v>0.4196407685455899</v>
      </c>
      <c r="I101" s="9">
        <v>0.43798689544576402</v>
      </c>
      <c r="J101" s="9">
        <v>0.43266980999677235</v>
      </c>
      <c r="K101" s="9">
        <v>0.43034802176692077</v>
      </c>
      <c r="L101" s="9">
        <v>0.4102300723801881</v>
      </c>
      <c r="M101" s="9">
        <v>0.4014882829425418</v>
      </c>
      <c r="N101" s="9">
        <v>0.39403551996305997</v>
      </c>
      <c r="O101" s="9">
        <v>0.39041835029454053</v>
      </c>
      <c r="P101" s="9">
        <v>0.39378118673442514</v>
      </c>
      <c r="Q101" s="9">
        <v>0.38275260308054987</v>
      </c>
      <c r="R101" s="9">
        <v>0.3854378778123615</v>
      </c>
      <c r="S101" s="9">
        <v>0.37564482510498154</v>
      </c>
      <c r="T101" s="9">
        <v>0.37877412983173658</v>
      </c>
      <c r="U101" s="9">
        <v>0.36934964653287627</v>
      </c>
      <c r="V101" s="9">
        <v>0.36300194529771196</v>
      </c>
    </row>
    <row r="102" spans="1:22">
      <c r="A102" s="13" t="s">
        <v>38</v>
      </c>
      <c r="B102" s="14" t="s">
        <v>130</v>
      </c>
      <c r="C102" s="15">
        <v>0.56318445570761066</v>
      </c>
      <c r="D102" s="15">
        <v>0.56535422862589668</v>
      </c>
      <c r="E102" s="15">
        <v>0.55913363490316437</v>
      </c>
      <c r="F102" s="15">
        <v>0.53458092662603074</v>
      </c>
      <c r="G102" s="15">
        <v>0.53995420130403404</v>
      </c>
      <c r="H102" s="15">
        <v>0.5135759231942465</v>
      </c>
      <c r="I102" s="15">
        <v>0.52012795912253573</v>
      </c>
      <c r="J102" s="15">
        <v>0.50183776892537024</v>
      </c>
      <c r="K102" s="15">
        <v>0.50128214124326886</v>
      </c>
      <c r="L102" s="15">
        <v>0.48336648173615043</v>
      </c>
      <c r="M102" s="15">
        <v>0.46042628280159836</v>
      </c>
      <c r="N102" s="15">
        <v>0.45916931442460962</v>
      </c>
      <c r="O102" s="15">
        <v>0.45151598205213611</v>
      </c>
      <c r="P102" s="15">
        <v>0.44160637291930765</v>
      </c>
      <c r="Q102" s="15">
        <v>0.43330758060652358</v>
      </c>
      <c r="R102" s="15">
        <v>0.45087039310660948</v>
      </c>
      <c r="S102" s="15">
        <v>0.43149559965607165</v>
      </c>
      <c r="T102" s="15">
        <v>0.43805997525178464</v>
      </c>
      <c r="U102" s="15">
        <v>0.43742910210029928</v>
      </c>
      <c r="V102" s="15">
        <v>0.43965360039252482</v>
      </c>
    </row>
    <row r="103" spans="1:22">
      <c r="A103" s="11" t="s">
        <v>39</v>
      </c>
      <c r="B103" s="6" t="s">
        <v>131</v>
      </c>
      <c r="C103" s="9">
        <v>0.6164389283286732</v>
      </c>
      <c r="D103" s="9">
        <v>0.60986415305359676</v>
      </c>
      <c r="E103" s="9">
        <v>0.6007693064109938</v>
      </c>
      <c r="F103" s="9">
        <v>0.54349313312250402</v>
      </c>
      <c r="G103" s="9">
        <v>0.53604547160838512</v>
      </c>
      <c r="H103" s="9">
        <v>0.52765245679451367</v>
      </c>
      <c r="I103" s="9">
        <v>0.52710501942838006</v>
      </c>
      <c r="J103" s="9">
        <v>0.52605155915959356</v>
      </c>
      <c r="K103" s="9">
        <v>0.54218837982759394</v>
      </c>
      <c r="L103" s="9">
        <v>0.54110245435778759</v>
      </c>
      <c r="M103" s="9">
        <v>0.54441660883985732</v>
      </c>
      <c r="N103" s="9">
        <v>0.54502375390304358</v>
      </c>
      <c r="O103" s="9">
        <v>0.54560186934028099</v>
      </c>
      <c r="P103" s="9">
        <v>0.55059357149971755</v>
      </c>
      <c r="Q103" s="9">
        <v>0.5625222199856903</v>
      </c>
      <c r="R103" s="9">
        <v>0.55551473642414484</v>
      </c>
      <c r="S103" s="9">
        <v>0.55500023619838923</v>
      </c>
      <c r="T103" s="9">
        <v>0.58273725439499224</v>
      </c>
      <c r="U103" s="9">
        <v>0.57907855762115912</v>
      </c>
      <c r="V103" s="9">
        <v>0.57900719840836867</v>
      </c>
    </row>
    <row r="104" spans="1:22">
      <c r="A104" s="11" t="s">
        <v>39</v>
      </c>
      <c r="B104" s="6" t="s">
        <v>132</v>
      </c>
      <c r="C104" s="9">
        <v>0.6597541208424158</v>
      </c>
      <c r="D104" s="9">
        <v>0.63908976703440135</v>
      </c>
      <c r="E104" s="9">
        <v>0.62840594813093553</v>
      </c>
      <c r="F104" s="9">
        <v>0.5646782712155668</v>
      </c>
      <c r="G104" s="9">
        <v>0.56377190257802623</v>
      </c>
      <c r="H104" s="9">
        <v>0.55803556228536766</v>
      </c>
      <c r="I104" s="9">
        <v>0.57210486992214127</v>
      </c>
      <c r="J104" s="9">
        <v>0.56360037425002929</v>
      </c>
      <c r="K104" s="9">
        <v>0.57235391593021667</v>
      </c>
      <c r="L104" s="9">
        <v>0.58568283739056681</v>
      </c>
      <c r="M104" s="9">
        <v>0.58747607443346994</v>
      </c>
      <c r="N104" s="9">
        <v>0.59044531107697773</v>
      </c>
      <c r="O104" s="9">
        <v>0.60286197902044492</v>
      </c>
      <c r="P104" s="9">
        <v>0.62414850225673568</v>
      </c>
      <c r="Q104" s="9">
        <v>0.62530739322574935</v>
      </c>
      <c r="R104" s="9">
        <v>0.62448086930650104</v>
      </c>
      <c r="S104" s="9">
        <v>0.6099100687098491</v>
      </c>
      <c r="T104" s="9">
        <v>0.64623299132021117</v>
      </c>
      <c r="U104" s="9">
        <v>0.63371461646509408</v>
      </c>
      <c r="V104" s="9">
        <v>0.61624182674022276</v>
      </c>
    </row>
    <row r="105" spans="1:22">
      <c r="A105" s="11" t="s">
        <v>39</v>
      </c>
      <c r="B105" s="6" t="s">
        <v>133</v>
      </c>
      <c r="C105" s="9">
        <v>0.64842200354729573</v>
      </c>
      <c r="D105" s="9">
        <v>0.64474443233512124</v>
      </c>
      <c r="E105" s="9">
        <v>0.63344498465746568</v>
      </c>
      <c r="F105" s="9">
        <v>0.60197427830730454</v>
      </c>
      <c r="G105" s="9">
        <v>0.58990355973406583</v>
      </c>
      <c r="H105" s="9">
        <v>0.59382289046866921</v>
      </c>
      <c r="I105" s="9">
        <v>0.58764931641705231</v>
      </c>
      <c r="J105" s="9">
        <v>0.61803228676342892</v>
      </c>
      <c r="K105" s="9">
        <v>0.6116946027875354</v>
      </c>
      <c r="L105" s="9">
        <v>0.60700905108039271</v>
      </c>
      <c r="M105" s="9">
        <v>0.62567402197524713</v>
      </c>
      <c r="N105" s="9">
        <v>0.62142153084160423</v>
      </c>
      <c r="O105" s="9">
        <v>0.63118421785700352</v>
      </c>
      <c r="P105" s="9">
        <v>0.62251099871469029</v>
      </c>
      <c r="Q105" s="9">
        <v>0.64832541508624963</v>
      </c>
      <c r="R105" s="9">
        <v>0.63467047432081547</v>
      </c>
      <c r="S105" s="9">
        <v>0.62915068452903256</v>
      </c>
      <c r="T105" s="9">
        <v>0.63370438656755201</v>
      </c>
      <c r="U105" s="9">
        <v>0.62859231807545624</v>
      </c>
      <c r="V105" s="9">
        <v>0.6298044193362059</v>
      </c>
    </row>
    <row r="106" spans="1:22">
      <c r="A106" s="11" t="s">
        <v>39</v>
      </c>
      <c r="B106" s="6" t="s">
        <v>134</v>
      </c>
      <c r="C106" s="9">
        <v>0.60967832992704496</v>
      </c>
      <c r="D106" s="9">
        <v>0.59576745786646601</v>
      </c>
      <c r="E106" s="9">
        <v>0.57889971867241719</v>
      </c>
      <c r="F106" s="9">
        <v>0.52100751082062935</v>
      </c>
      <c r="G106" s="9">
        <v>0.51775153028550447</v>
      </c>
      <c r="H106" s="9">
        <v>0.50818225818950136</v>
      </c>
      <c r="I106" s="9">
        <v>0.50919568436635987</v>
      </c>
      <c r="J106" s="9">
        <v>0.51557731987106914</v>
      </c>
      <c r="K106" s="9">
        <v>0.51714113218215063</v>
      </c>
      <c r="L106" s="9">
        <v>0.53627003113218075</v>
      </c>
      <c r="M106" s="9">
        <v>0.53057303609616457</v>
      </c>
      <c r="N106" s="9">
        <v>0.5348720298023063</v>
      </c>
      <c r="O106" s="9">
        <v>0.5543577453092452</v>
      </c>
      <c r="P106" s="9">
        <v>0.55746033565998721</v>
      </c>
      <c r="Q106" s="9">
        <v>0.57732839399151747</v>
      </c>
      <c r="R106" s="9">
        <v>0.56404425534441183</v>
      </c>
      <c r="S106" s="9">
        <v>0.56691070441489144</v>
      </c>
      <c r="T106" s="9">
        <v>0.59936011282753276</v>
      </c>
      <c r="U106" s="9">
        <v>0.59663973474336074</v>
      </c>
      <c r="V106" s="9">
        <v>0.58274544040308451</v>
      </c>
    </row>
    <row r="107" spans="1:22">
      <c r="A107" s="11" t="s">
        <v>39</v>
      </c>
      <c r="B107" s="6" t="s">
        <v>135</v>
      </c>
      <c r="C107" s="9">
        <v>0.64594248726849945</v>
      </c>
      <c r="D107" s="9">
        <v>0.64262621707031109</v>
      </c>
      <c r="E107" s="9">
        <v>0.63526931671226705</v>
      </c>
      <c r="F107" s="9">
        <v>0.58461859338016564</v>
      </c>
      <c r="G107" s="9">
        <v>0.58493186062156999</v>
      </c>
      <c r="H107" s="9">
        <v>0.58470998076391467</v>
      </c>
      <c r="I107" s="9">
        <v>0.57571686678029854</v>
      </c>
      <c r="J107" s="9">
        <v>0.58514988153289227</v>
      </c>
      <c r="K107" s="9">
        <v>0.5884755638774356</v>
      </c>
      <c r="L107" s="9">
        <v>0.60977727492854661</v>
      </c>
      <c r="M107" s="9">
        <v>0.61646913454874441</v>
      </c>
      <c r="N107" s="9">
        <v>0.62412711247692776</v>
      </c>
      <c r="O107" s="9">
        <v>0.63803055303459433</v>
      </c>
      <c r="P107" s="9">
        <v>0.61888652525341648</v>
      </c>
      <c r="Q107" s="9">
        <v>0.64900443895675641</v>
      </c>
      <c r="R107" s="9">
        <v>0.63212349085669839</v>
      </c>
      <c r="S107" s="9">
        <v>0.62014328509425509</v>
      </c>
      <c r="T107" s="9">
        <v>0.63039517109900123</v>
      </c>
      <c r="U107" s="9">
        <v>0.61741506281559111</v>
      </c>
      <c r="V107" s="9">
        <v>0.63154327529974197</v>
      </c>
    </row>
    <row r="108" spans="1:22">
      <c r="A108" s="11" t="s">
        <v>39</v>
      </c>
      <c r="B108" s="6" t="s">
        <v>136</v>
      </c>
      <c r="C108" s="9">
        <v>0.63115040699198366</v>
      </c>
      <c r="D108" s="9">
        <v>0.61547209621057675</v>
      </c>
      <c r="E108" s="9">
        <v>0.6188945795423586</v>
      </c>
      <c r="F108" s="9">
        <v>0.56185645376566751</v>
      </c>
      <c r="G108" s="9">
        <v>0.56261311308491224</v>
      </c>
      <c r="H108" s="9">
        <v>0.55451278667585036</v>
      </c>
      <c r="I108" s="9">
        <v>0.55017263203506472</v>
      </c>
      <c r="J108" s="9">
        <v>0.55304322603818612</v>
      </c>
      <c r="K108" s="9">
        <v>0.56735761340683077</v>
      </c>
      <c r="L108" s="9">
        <v>0.58761805315798654</v>
      </c>
      <c r="M108" s="9">
        <v>0.58757667990841855</v>
      </c>
      <c r="N108" s="9">
        <v>0.57818239731652332</v>
      </c>
      <c r="O108" s="9">
        <v>0.58368143834076569</v>
      </c>
      <c r="P108" s="9">
        <v>0.5756474224642133</v>
      </c>
      <c r="Q108" s="9">
        <v>0.59479992714710062</v>
      </c>
      <c r="R108" s="9">
        <v>0.58825744882484976</v>
      </c>
      <c r="S108" s="9">
        <v>0.57759997008046671</v>
      </c>
      <c r="T108" s="9">
        <v>0.58937418521445717</v>
      </c>
      <c r="U108" s="9">
        <v>0.58501222970508404</v>
      </c>
      <c r="V108" s="9">
        <v>0.59169659446882161</v>
      </c>
    </row>
    <row r="109" spans="1:22">
      <c r="A109" s="11" t="s">
        <v>39</v>
      </c>
      <c r="B109" s="6" t="s">
        <v>137</v>
      </c>
      <c r="C109" s="9">
        <v>0.66879206563022975</v>
      </c>
      <c r="D109" s="9">
        <v>0.67569535553765059</v>
      </c>
      <c r="E109" s="9">
        <v>0.65647529676397975</v>
      </c>
      <c r="F109" s="9">
        <v>0.63297443056791403</v>
      </c>
      <c r="G109" s="9">
        <v>0.60058808222769366</v>
      </c>
      <c r="H109" s="9">
        <v>0.59786774592170855</v>
      </c>
      <c r="I109" s="9">
        <v>0.61218295077950258</v>
      </c>
      <c r="J109" s="9">
        <v>0.60145412706525148</v>
      </c>
      <c r="K109" s="9">
        <v>0.60361598557848761</v>
      </c>
      <c r="L109" s="9">
        <v>0.57112706089512211</v>
      </c>
      <c r="M109" s="9">
        <v>0.59049857851223941</v>
      </c>
      <c r="N109" s="9">
        <v>0.57311111276883919</v>
      </c>
      <c r="O109" s="9">
        <v>0.56702129849745531</v>
      </c>
      <c r="P109" s="9">
        <v>0.57111830960242171</v>
      </c>
      <c r="Q109" s="9">
        <v>0.57437451873019629</v>
      </c>
      <c r="R109" s="9">
        <v>0.58453852945217188</v>
      </c>
      <c r="S109" s="9">
        <v>0.58517694639735218</v>
      </c>
      <c r="T109" s="9">
        <v>0.59258599957044966</v>
      </c>
      <c r="U109" s="9">
        <v>0.5986546490629846</v>
      </c>
      <c r="V109" s="9">
        <v>0.5803216442509016</v>
      </c>
    </row>
    <row r="110" spans="1:22">
      <c r="A110" s="11" t="s">
        <v>39</v>
      </c>
      <c r="B110" s="6" t="s">
        <v>138</v>
      </c>
      <c r="C110" s="9"/>
      <c r="D110" s="9"/>
      <c r="E110" s="9"/>
      <c r="F110" s="9"/>
      <c r="G110" s="9">
        <v>0.50375879674892865</v>
      </c>
      <c r="H110" s="9">
        <v>0.49967787449206796</v>
      </c>
      <c r="I110" s="9">
        <v>0.50165107877690085</v>
      </c>
      <c r="J110" s="9">
        <v>0.48354692993557225</v>
      </c>
      <c r="K110" s="9">
        <v>0.49277553627953818</v>
      </c>
      <c r="L110" s="9">
        <v>0.39293314999253948</v>
      </c>
      <c r="M110" s="9">
        <v>0.40682926282802434</v>
      </c>
      <c r="N110" s="9">
        <v>0.39320412144148648</v>
      </c>
      <c r="O110" s="9">
        <v>0.38574662805388699</v>
      </c>
      <c r="P110" s="9">
        <v>0.38532548391144344</v>
      </c>
      <c r="Q110" s="9">
        <v>0.37375306223406513</v>
      </c>
      <c r="R110" s="9">
        <v>0.36804720699215243</v>
      </c>
      <c r="S110" s="9">
        <v>0.36168620012783537</v>
      </c>
      <c r="T110" s="9">
        <v>0.37204777682786971</v>
      </c>
      <c r="U110" s="9">
        <v>0.36153274567908872</v>
      </c>
      <c r="V110" s="9">
        <v>0.36611953565392436</v>
      </c>
    </row>
    <row r="111" spans="1:22">
      <c r="A111" s="11" t="s">
        <v>39</v>
      </c>
      <c r="B111" s="6" t="s">
        <v>139</v>
      </c>
      <c r="C111" s="9">
        <v>0.66033938470483888</v>
      </c>
      <c r="D111" s="9">
        <v>0.66283522952744778</v>
      </c>
      <c r="E111" s="9">
        <v>0.64255969495103082</v>
      </c>
      <c r="F111" s="9">
        <v>0.60758368474836966</v>
      </c>
      <c r="G111" s="9">
        <v>0.56771917592278343</v>
      </c>
      <c r="H111" s="9">
        <v>0.55880268570190639</v>
      </c>
      <c r="I111" s="9">
        <v>0.56348882466937578</v>
      </c>
      <c r="J111" s="9">
        <v>0.54910099916958122</v>
      </c>
      <c r="K111" s="9">
        <v>0.54124642419381608</v>
      </c>
      <c r="L111" s="9">
        <v>0.53906623018251998</v>
      </c>
      <c r="M111" s="9">
        <v>0.54820474872167568</v>
      </c>
      <c r="N111" s="9">
        <v>0.5438938313262478</v>
      </c>
      <c r="O111" s="9">
        <v>0.53683817808746115</v>
      </c>
      <c r="P111" s="9">
        <v>0.53425980547884522</v>
      </c>
      <c r="Q111" s="9">
        <v>0.53951637427975507</v>
      </c>
      <c r="R111" s="9">
        <v>0.5393683964784689</v>
      </c>
      <c r="S111" s="9">
        <v>0.54308906365450227</v>
      </c>
      <c r="T111" s="9">
        <v>0.54437044342783603</v>
      </c>
      <c r="U111" s="9">
        <v>0.55160161686863551</v>
      </c>
      <c r="V111" s="9">
        <v>0.53215722753892614</v>
      </c>
    </row>
    <row r="112" spans="1:22">
      <c r="A112" s="11" t="s">
        <v>39</v>
      </c>
      <c r="B112" s="6" t="s">
        <v>140</v>
      </c>
      <c r="C112" s="9">
        <v>0.59744279710265591</v>
      </c>
      <c r="D112" s="9">
        <v>0.58338468683744027</v>
      </c>
      <c r="E112" s="9">
        <v>0.57051283293368893</v>
      </c>
      <c r="F112" s="9">
        <v>0.52211485145189307</v>
      </c>
      <c r="G112" s="9">
        <v>0.51884906709925493</v>
      </c>
      <c r="H112" s="9">
        <v>0.51631646821032873</v>
      </c>
      <c r="I112" s="9">
        <v>0.52414183789578128</v>
      </c>
      <c r="J112" s="9">
        <v>0.52496196707179721</v>
      </c>
      <c r="K112" s="9">
        <v>0.52766100049871945</v>
      </c>
      <c r="L112" s="9">
        <v>0.52102509628239968</v>
      </c>
      <c r="M112" s="9">
        <v>0.52548268534800169</v>
      </c>
      <c r="N112" s="9">
        <v>0.53700831707865404</v>
      </c>
      <c r="O112" s="9">
        <v>0.53303574912118279</v>
      </c>
      <c r="P112" s="9">
        <v>0.54495961616585786</v>
      </c>
      <c r="Q112" s="9">
        <v>0.55443255821690407</v>
      </c>
      <c r="R112" s="9">
        <v>0.55181716993598173</v>
      </c>
      <c r="S112" s="9">
        <v>0.57705941675340611</v>
      </c>
      <c r="T112" s="9">
        <v>0.57811183017899881</v>
      </c>
      <c r="U112" s="9">
        <v>0.60065307574976712</v>
      </c>
      <c r="V112" s="9">
        <v>0.58308907953161193</v>
      </c>
    </row>
    <row r="113" spans="1:22">
      <c r="A113" s="11" t="s">
        <v>39</v>
      </c>
      <c r="B113" s="6" t="s">
        <v>141</v>
      </c>
      <c r="C113" s="9">
        <v>0.67407374437042256</v>
      </c>
      <c r="D113" s="9">
        <v>0.68121992809480658</v>
      </c>
      <c r="E113" s="9">
        <v>0.64967964727124705</v>
      </c>
      <c r="F113" s="9">
        <v>0.62103769598520397</v>
      </c>
      <c r="G113" s="9">
        <v>0.57999702501065875</v>
      </c>
      <c r="H113" s="9">
        <v>0.57881840847333577</v>
      </c>
      <c r="I113" s="9">
        <v>0.59919157225123054</v>
      </c>
      <c r="J113" s="9">
        <v>0.59496142311676758</v>
      </c>
      <c r="K113" s="9">
        <v>0.59665920414497431</v>
      </c>
      <c r="L113" s="9">
        <v>0.58546266110498513</v>
      </c>
      <c r="M113" s="9">
        <v>0.59520168138499974</v>
      </c>
      <c r="N113" s="9">
        <v>0.58430999946270368</v>
      </c>
      <c r="O113" s="9">
        <v>0.57408563660758205</v>
      </c>
      <c r="P113" s="9">
        <v>0.58277545971773492</v>
      </c>
      <c r="Q113" s="9">
        <v>0.59139296290578947</v>
      </c>
      <c r="R113" s="9">
        <v>0.5824706794499479</v>
      </c>
      <c r="S113" s="9">
        <v>0.59489250900256263</v>
      </c>
      <c r="T113" s="9">
        <v>0.59992732793210091</v>
      </c>
      <c r="U113" s="9">
        <v>0.61194660006915913</v>
      </c>
      <c r="V113" s="9">
        <v>0.59669746742495866</v>
      </c>
    </row>
    <row r="114" spans="1:22">
      <c r="A114" s="11" t="s">
        <v>39</v>
      </c>
      <c r="B114" s="6" t="s">
        <v>142</v>
      </c>
      <c r="C114" s="9">
        <v>0.61514711736992012</v>
      </c>
      <c r="D114" s="9">
        <v>0.59840745445053412</v>
      </c>
      <c r="E114" s="9">
        <v>0.58384075209671205</v>
      </c>
      <c r="F114" s="9">
        <v>0.56449020798594907</v>
      </c>
      <c r="G114" s="9">
        <v>0.52515011172455173</v>
      </c>
      <c r="H114" s="9">
        <v>0.52301256585736433</v>
      </c>
      <c r="I114" s="9">
        <v>0.50710831901685705</v>
      </c>
      <c r="J114" s="9">
        <v>0.50983899224161522</v>
      </c>
      <c r="K114" s="9">
        <v>0.50412060497411415</v>
      </c>
      <c r="L114" s="9">
        <v>0.44862790441931227</v>
      </c>
      <c r="M114" s="9">
        <v>0.46124989664743554</v>
      </c>
      <c r="N114" s="9">
        <v>0.44891543584838911</v>
      </c>
      <c r="O114" s="9">
        <v>0.44409496889641159</v>
      </c>
      <c r="P114" s="9">
        <v>0.44579476788584732</v>
      </c>
      <c r="Q114" s="9">
        <v>0.43576128257510977</v>
      </c>
      <c r="R114" s="9">
        <v>0.44511465793141852</v>
      </c>
      <c r="S114" s="9">
        <v>0.42768169933194744</v>
      </c>
      <c r="T114" s="9">
        <v>0.44997675621514999</v>
      </c>
      <c r="U114" s="9">
        <v>0.4339845480838862</v>
      </c>
      <c r="V114" s="9">
        <v>0.43221962443070966</v>
      </c>
    </row>
    <row r="115" spans="1:22">
      <c r="A115" s="11" t="s">
        <v>39</v>
      </c>
      <c r="B115" s="6" t="s">
        <v>143</v>
      </c>
      <c r="C115" s="9">
        <v>0.62657559644474781</v>
      </c>
      <c r="D115" s="9">
        <v>0.62301113610446535</v>
      </c>
      <c r="E115" s="9">
        <v>0.60266492220879975</v>
      </c>
      <c r="F115" s="9">
        <v>0.55653565589836285</v>
      </c>
      <c r="G115" s="9">
        <v>0.55136607872749399</v>
      </c>
      <c r="H115" s="9">
        <v>0.53861295908335816</v>
      </c>
      <c r="I115" s="9">
        <v>0.55037011067046127</v>
      </c>
      <c r="J115" s="9">
        <v>0.55571969497363416</v>
      </c>
      <c r="K115" s="9">
        <v>0.55905213440804202</v>
      </c>
      <c r="L115" s="9">
        <v>0.57902404375198024</v>
      </c>
      <c r="M115" s="9">
        <v>0.58282963598804804</v>
      </c>
      <c r="N115" s="9">
        <v>0.57720840306457788</v>
      </c>
      <c r="O115" s="9">
        <v>0.58538478730197252</v>
      </c>
      <c r="P115" s="9">
        <v>0.60352312550447085</v>
      </c>
      <c r="Q115" s="9">
        <v>0.60122214027892384</v>
      </c>
      <c r="R115" s="9">
        <v>0.59819076548751626</v>
      </c>
      <c r="S115" s="9">
        <v>0.59240392510825746</v>
      </c>
      <c r="T115" s="9">
        <v>0.62730653674327308</v>
      </c>
      <c r="U115" s="9">
        <v>0.61426291728160209</v>
      </c>
      <c r="V115" s="9">
        <v>0.6006520104096994</v>
      </c>
    </row>
    <row r="116" spans="1:22">
      <c r="A116" s="11" t="s">
        <v>39</v>
      </c>
      <c r="B116" s="6" t="s">
        <v>144</v>
      </c>
      <c r="C116" s="9">
        <v>0.58282946828300997</v>
      </c>
      <c r="D116" s="9">
        <v>0.56625056486550185</v>
      </c>
      <c r="E116" s="9">
        <v>0.55110881558722813</v>
      </c>
      <c r="F116" s="9">
        <v>0.51135832585184593</v>
      </c>
      <c r="G116" s="9">
        <v>0.48740489222606531</v>
      </c>
      <c r="H116" s="9">
        <v>0.48193025886387625</v>
      </c>
      <c r="I116" s="9">
        <v>0.47079171169980777</v>
      </c>
      <c r="J116" s="9">
        <v>0.48132737899091227</v>
      </c>
      <c r="K116" s="9">
        <v>0.49631691109129983</v>
      </c>
      <c r="L116" s="9">
        <v>0.48381038562745249</v>
      </c>
      <c r="M116" s="9">
        <v>0.48070679895772478</v>
      </c>
      <c r="N116" s="9">
        <v>0.46800678598152745</v>
      </c>
      <c r="O116" s="9">
        <v>0.46783705399441283</v>
      </c>
      <c r="P116" s="9">
        <v>0.47003187179214778</v>
      </c>
      <c r="Q116" s="9">
        <v>0.47768735146043789</v>
      </c>
      <c r="R116" s="9">
        <v>0.47271277851017629</v>
      </c>
      <c r="S116" s="9">
        <v>0.47693707967243953</v>
      </c>
      <c r="T116" s="9">
        <v>0.48502787234117123</v>
      </c>
      <c r="U116" s="9">
        <v>0.48465532571199654</v>
      </c>
      <c r="V116" s="9">
        <v>0.4893350747696617</v>
      </c>
    </row>
    <row r="117" spans="1:22">
      <c r="A117" s="11" t="s">
        <v>39</v>
      </c>
      <c r="B117" s="6" t="s">
        <v>145</v>
      </c>
      <c r="C117" s="9">
        <v>0.64479282702372398</v>
      </c>
      <c r="D117" s="9">
        <v>0.64601420769680251</v>
      </c>
      <c r="E117" s="9">
        <v>0.62322408920551442</v>
      </c>
      <c r="F117" s="9">
        <v>0.59725079907039924</v>
      </c>
      <c r="G117" s="9">
        <v>0.57424714542089594</v>
      </c>
      <c r="H117" s="9">
        <v>0.5587915273559767</v>
      </c>
      <c r="I117" s="9">
        <v>0.57940281031052598</v>
      </c>
      <c r="J117" s="9">
        <v>0.55624543241764857</v>
      </c>
      <c r="K117" s="9">
        <v>0.5728571110265287</v>
      </c>
      <c r="L117" s="9">
        <v>0.57631166815317514</v>
      </c>
      <c r="M117" s="9">
        <v>0.58386279525312379</v>
      </c>
      <c r="N117" s="9">
        <v>0.58442860849011524</v>
      </c>
      <c r="O117" s="9">
        <v>0.58318762609761088</v>
      </c>
      <c r="P117" s="9">
        <v>0.59560487943762752</v>
      </c>
      <c r="Q117" s="9">
        <v>0.58506559124890367</v>
      </c>
      <c r="R117" s="9">
        <v>0.58984458718507415</v>
      </c>
      <c r="S117" s="9">
        <v>0.60256176682432638</v>
      </c>
      <c r="T117" s="9">
        <v>0.61021460383733883</v>
      </c>
      <c r="U117" s="9">
        <v>0.62233660747465014</v>
      </c>
      <c r="V117" s="9">
        <v>0.60218477765786393</v>
      </c>
    </row>
    <row r="118" spans="1:22">
      <c r="A118" s="11" t="s">
        <v>39</v>
      </c>
      <c r="B118" s="6" t="s">
        <v>146</v>
      </c>
      <c r="C118" s="9">
        <v>0.60423783784102292</v>
      </c>
      <c r="D118" s="9">
        <v>0.56498475075657528</v>
      </c>
      <c r="E118" s="9">
        <v>0.56807665264085161</v>
      </c>
      <c r="F118" s="9">
        <v>0.54750479576035982</v>
      </c>
      <c r="G118" s="9">
        <v>0.5285319053896268</v>
      </c>
      <c r="H118" s="9">
        <v>0.52572863161265271</v>
      </c>
      <c r="I118" s="9">
        <v>0.51769300706479981</v>
      </c>
      <c r="J118" s="9">
        <v>0.52663552936832325</v>
      </c>
      <c r="K118" s="9">
        <v>0.54641276945662587</v>
      </c>
      <c r="L118" s="9">
        <v>0.53646032145870959</v>
      </c>
      <c r="M118" s="9">
        <v>0.52833277260356237</v>
      </c>
      <c r="N118" s="9">
        <v>0.55279498865275112</v>
      </c>
      <c r="O118" s="9">
        <v>0.54355570432379752</v>
      </c>
      <c r="P118" s="9">
        <v>0.54164766073670856</v>
      </c>
      <c r="Q118" s="9">
        <v>0.54991739064440537</v>
      </c>
      <c r="R118" s="9">
        <v>0.54505463677890165</v>
      </c>
      <c r="S118" s="9">
        <v>0.55140385710387496</v>
      </c>
      <c r="T118" s="9">
        <v>0.56896668840647735</v>
      </c>
      <c r="U118" s="9">
        <v>0.5842672068570538</v>
      </c>
      <c r="V118" s="9">
        <v>0.59598579502009974</v>
      </c>
    </row>
    <row r="119" spans="1:22">
      <c r="A119" s="13" t="s">
        <v>39</v>
      </c>
      <c r="B119" s="14" t="s">
        <v>147</v>
      </c>
      <c r="C119" s="15">
        <v>0.64542218924250039</v>
      </c>
      <c r="D119" s="15">
        <v>0.65908508771708307</v>
      </c>
      <c r="E119" s="15">
        <v>0.62368127165602549</v>
      </c>
      <c r="F119" s="15">
        <v>0.58278573074386797</v>
      </c>
      <c r="G119" s="15">
        <v>0.57782518702709662</v>
      </c>
      <c r="H119" s="15">
        <v>0.56677333177050038</v>
      </c>
      <c r="I119" s="15">
        <v>0.5810646330553958</v>
      </c>
      <c r="J119" s="15">
        <v>0.58599831411892966</v>
      </c>
      <c r="K119" s="15">
        <v>0.58611531668690464</v>
      </c>
      <c r="L119" s="15">
        <v>0.58058472286298457</v>
      </c>
      <c r="M119" s="15">
        <v>0.59004649030538914</v>
      </c>
      <c r="N119" s="15">
        <v>0.57919961280921883</v>
      </c>
      <c r="O119" s="15">
        <v>0.58914170828187928</v>
      </c>
      <c r="P119" s="15">
        <v>0.58623479029332393</v>
      </c>
      <c r="Q119" s="15">
        <v>0.5971272345218317</v>
      </c>
      <c r="R119" s="15">
        <v>0.58985911449593298</v>
      </c>
      <c r="S119" s="15">
        <v>0.58878252399141318</v>
      </c>
      <c r="T119" s="15">
        <v>0.60450952001270719</v>
      </c>
      <c r="U119" s="15">
        <v>0.60720275818256642</v>
      </c>
      <c r="V119" s="15">
        <v>0.59772183502923393</v>
      </c>
    </row>
    <row r="120" spans="1:22">
      <c r="A120" s="11" t="s">
        <v>148</v>
      </c>
      <c r="B120" s="6" t="s">
        <v>124</v>
      </c>
      <c r="C120" s="9">
        <v>0.56938717379450599</v>
      </c>
      <c r="D120" s="9">
        <v>0.57170866564954481</v>
      </c>
      <c r="E120" s="9">
        <v>0.57373795562576602</v>
      </c>
      <c r="F120" s="9">
        <v>0.5473273899860307</v>
      </c>
      <c r="G120" s="9">
        <v>0.5285111917943508</v>
      </c>
      <c r="H120" s="9">
        <v>0.52686474213230228</v>
      </c>
      <c r="I120" s="9">
        <v>0.52607678753633369</v>
      </c>
      <c r="J120" s="9">
        <v>0.51504589244668586</v>
      </c>
      <c r="K120" s="9">
        <v>0.51587482166437826</v>
      </c>
      <c r="L120" s="9">
        <v>0.50483372043239705</v>
      </c>
      <c r="M120" s="9">
        <v>0.47156923163823844</v>
      </c>
      <c r="N120" s="9">
        <v>0.47601513788162941</v>
      </c>
      <c r="O120" s="9">
        <v>0.46203482037610488</v>
      </c>
      <c r="P120" s="9">
        <v>0.46178912310763898</v>
      </c>
      <c r="Q120" s="9">
        <v>0.44421659264343399</v>
      </c>
      <c r="R120" s="9">
        <v>0.46248351805006532</v>
      </c>
      <c r="S120" s="9">
        <v>0.44467175808717924</v>
      </c>
      <c r="T120" s="9">
        <v>0.44855362482890815</v>
      </c>
      <c r="U120" s="9">
        <v>0.44509067799349883</v>
      </c>
      <c r="V120" s="9">
        <v>0.44646537999467401</v>
      </c>
    </row>
    <row r="121" spans="1:22">
      <c r="A121" s="11" t="s">
        <v>148</v>
      </c>
      <c r="B121" s="6" t="s">
        <v>149</v>
      </c>
      <c r="C121" s="9">
        <v>0.53387288818403267</v>
      </c>
      <c r="D121" s="9">
        <v>0.54673640075019025</v>
      </c>
      <c r="E121" s="9">
        <v>0.55111205674606167</v>
      </c>
      <c r="F121" s="9">
        <v>0.53227801477770886</v>
      </c>
      <c r="G121" s="9">
        <v>0.52366048469728055</v>
      </c>
      <c r="H121" s="9">
        <v>0.51654784010768373</v>
      </c>
      <c r="I121" s="9">
        <v>0.52068047186166155</v>
      </c>
      <c r="J121" s="9">
        <v>0.50454172072847459</v>
      </c>
      <c r="K121" s="9">
        <v>0.50889480528071418</v>
      </c>
      <c r="L121" s="9">
        <v>0.48724306059896338</v>
      </c>
      <c r="M121" s="9">
        <v>0.45866485519843725</v>
      </c>
      <c r="N121" s="9">
        <v>0.45699704637274968</v>
      </c>
      <c r="O121" s="9">
        <v>0.44725813482155458</v>
      </c>
      <c r="P121" s="9">
        <v>0.43879397784300062</v>
      </c>
      <c r="Q121" s="9">
        <v>0.42981100743923251</v>
      </c>
      <c r="R121" s="9">
        <v>0.44631277179900397</v>
      </c>
      <c r="S121" s="9">
        <v>0.42887695308428853</v>
      </c>
      <c r="T121" s="9">
        <v>0.43224821026534038</v>
      </c>
      <c r="U121" s="9">
        <v>0.43419445207793955</v>
      </c>
      <c r="V121" s="9">
        <v>0.43462479863912201</v>
      </c>
    </row>
    <row r="122" spans="1:22">
      <c r="A122" s="11" t="s">
        <v>148</v>
      </c>
      <c r="B122" s="6" t="s">
        <v>150</v>
      </c>
      <c r="C122" s="9">
        <v>0.436809968332803</v>
      </c>
      <c r="D122" s="9">
        <v>0.43357916307180078</v>
      </c>
      <c r="E122" s="9">
        <v>0.44736850598036382</v>
      </c>
      <c r="F122" s="9">
        <v>0.42901853426341863</v>
      </c>
      <c r="G122" s="9">
        <v>0.42340556856826056</v>
      </c>
      <c r="H122" s="9">
        <v>0.42974680532159343</v>
      </c>
      <c r="I122" s="9">
        <v>0.44144148376662534</v>
      </c>
      <c r="J122" s="9">
        <v>0.44068556619745614</v>
      </c>
      <c r="K122" s="9">
        <v>0.43865028058072975</v>
      </c>
      <c r="L122" s="9">
        <v>0.41647448598796682</v>
      </c>
      <c r="M122" s="9">
        <v>0.40921402455325318</v>
      </c>
      <c r="N122" s="9">
        <v>0.39947227536877794</v>
      </c>
      <c r="O122" s="9">
        <v>0.39433685493377635</v>
      </c>
      <c r="P122" s="9">
        <v>0.39444065222546726</v>
      </c>
      <c r="Q122" s="9">
        <v>0.3803280984438972</v>
      </c>
      <c r="R122" s="9">
        <v>0.37974035792713862</v>
      </c>
      <c r="S122" s="9">
        <v>0.37157771063464395</v>
      </c>
      <c r="T122" s="9">
        <v>0.37415064973961809</v>
      </c>
      <c r="U122" s="9">
        <v>0.3653563976310979</v>
      </c>
      <c r="V122" s="9">
        <v>0.35953726068665065</v>
      </c>
    </row>
    <row r="123" spans="1:22">
      <c r="A123" s="11" t="s">
        <v>148</v>
      </c>
      <c r="B123" s="6" t="s">
        <v>151</v>
      </c>
      <c r="C123" s="9">
        <v>0.52204525211449271</v>
      </c>
      <c r="D123" s="9">
        <v>0.5393603138756734</v>
      </c>
      <c r="E123" s="9">
        <v>0.55064569830615029</v>
      </c>
      <c r="F123" s="9">
        <v>0.5295483374853901</v>
      </c>
      <c r="G123" s="9">
        <v>0.51592229934916012</v>
      </c>
      <c r="H123" s="9">
        <v>0.51668137495793498</v>
      </c>
      <c r="I123" s="9">
        <v>0.51946237925785255</v>
      </c>
      <c r="J123" s="9">
        <v>0.50204893824412478</v>
      </c>
      <c r="K123" s="9">
        <v>0.51235767925861997</v>
      </c>
      <c r="L123" s="9">
        <v>0.48689647600679731</v>
      </c>
      <c r="M123" s="9">
        <v>0.45566191765342667</v>
      </c>
      <c r="N123" s="9">
        <v>0.44882391374525127</v>
      </c>
      <c r="O123" s="9">
        <v>0.43788466144989996</v>
      </c>
      <c r="P123" s="9">
        <v>0.43313098958375112</v>
      </c>
      <c r="Q123" s="9">
        <v>0.41956107366147893</v>
      </c>
      <c r="R123" s="9">
        <v>0.43522878245893665</v>
      </c>
      <c r="S123" s="9">
        <v>0.41518241925975508</v>
      </c>
      <c r="T123" s="9">
        <v>0.42075190342574742</v>
      </c>
      <c r="U123" s="9">
        <v>0.42149696195854891</v>
      </c>
      <c r="V123" s="9">
        <v>0.42248219875196796</v>
      </c>
    </row>
    <row r="124" spans="1:22">
      <c r="A124" s="11" t="s">
        <v>148</v>
      </c>
      <c r="B124" s="6" t="s">
        <v>152</v>
      </c>
      <c r="C124" s="9">
        <v>0.55987200203817522</v>
      </c>
      <c r="D124" s="9">
        <v>0.56319669101375647</v>
      </c>
      <c r="E124" s="9">
        <v>0.5571130994268253</v>
      </c>
      <c r="F124" s="9">
        <v>0.53487485077897035</v>
      </c>
      <c r="G124" s="9">
        <v>0.5358639520291455</v>
      </c>
      <c r="H124" s="9">
        <v>0.51185303175820596</v>
      </c>
      <c r="I124" s="9">
        <v>0.52015955339884601</v>
      </c>
      <c r="J124" s="9">
        <v>0.50199844080283251</v>
      </c>
      <c r="K124" s="9">
        <v>0.49896089982553576</v>
      </c>
      <c r="L124" s="9">
        <v>0.48524778808600838</v>
      </c>
      <c r="M124" s="9">
        <v>0.45950604127108036</v>
      </c>
      <c r="N124" s="9">
        <v>0.4640185454453708</v>
      </c>
      <c r="O124" s="9">
        <v>0.44973389960959576</v>
      </c>
      <c r="P124" s="9">
        <v>0.44000485050860449</v>
      </c>
      <c r="Q124" s="9">
        <v>0.43498926037730268</v>
      </c>
      <c r="R124" s="9">
        <v>0.45523316205780079</v>
      </c>
      <c r="S124" s="9">
        <v>0.43696930774264281</v>
      </c>
      <c r="T124" s="9">
        <v>0.44230978768960993</v>
      </c>
      <c r="U124" s="9">
        <v>0.44143255825646449</v>
      </c>
      <c r="V124" s="9">
        <v>0.44164263182521513</v>
      </c>
    </row>
    <row r="125" spans="1:22">
      <c r="A125" s="11" t="s">
        <v>148</v>
      </c>
      <c r="B125" s="6" t="s">
        <v>153</v>
      </c>
      <c r="C125" s="9">
        <v>0.53797850949437376</v>
      </c>
      <c r="D125" s="9">
        <v>0.54215184387053172</v>
      </c>
      <c r="E125" s="9">
        <v>0.54382385443163961</v>
      </c>
      <c r="F125" s="9">
        <v>0.52458461880973706</v>
      </c>
      <c r="G125" s="9">
        <v>0.52503120454280772</v>
      </c>
      <c r="H125" s="9">
        <v>0.50737050240895598</v>
      </c>
      <c r="I125" s="9">
        <v>0.51209127694651746</v>
      </c>
      <c r="J125" s="9">
        <v>0.49627347853656545</v>
      </c>
      <c r="K125" s="9">
        <v>0.49403257632473146</v>
      </c>
      <c r="L125" s="9">
        <v>0.47670739441579463</v>
      </c>
      <c r="M125" s="9">
        <v>0.45188187919460238</v>
      </c>
      <c r="N125" s="9">
        <v>0.44976983444976892</v>
      </c>
      <c r="O125" s="9">
        <v>0.44183952165683194</v>
      </c>
      <c r="P125" s="9">
        <v>0.43115728476011128</v>
      </c>
      <c r="Q125" s="9">
        <v>0.42448730027416515</v>
      </c>
      <c r="R125" s="9">
        <v>0.43817455963722923</v>
      </c>
      <c r="S125" s="9">
        <v>0.42176082673480148</v>
      </c>
      <c r="T125" s="9">
        <v>0.42785269122768083</v>
      </c>
      <c r="U125" s="9">
        <v>0.4250238554854196</v>
      </c>
      <c r="V125" s="9">
        <v>0.4269266006051024</v>
      </c>
    </row>
    <row r="126" spans="1:22">
      <c r="A126" s="11" t="s">
        <v>148</v>
      </c>
      <c r="B126" s="6" t="s">
        <v>154</v>
      </c>
      <c r="C126" s="9">
        <v>0.57714309293612798</v>
      </c>
      <c r="D126" s="9">
        <v>0.57801977390957082</v>
      </c>
      <c r="E126" s="9">
        <v>0.57969491009624163</v>
      </c>
      <c r="F126" s="9">
        <v>0.55228691335862634</v>
      </c>
      <c r="G126" s="9">
        <v>0.53842042815365487</v>
      </c>
      <c r="H126" s="9">
        <v>0.53147142304587902</v>
      </c>
      <c r="I126" s="9">
        <v>0.52857751952555043</v>
      </c>
      <c r="J126" s="9">
        <v>0.52006850392734472</v>
      </c>
      <c r="K126" s="9">
        <v>0.52601959915437257</v>
      </c>
      <c r="L126" s="9">
        <v>0.51174881787441229</v>
      </c>
      <c r="M126" s="9">
        <v>0.48031915963656502</v>
      </c>
      <c r="N126" s="9">
        <v>0.48122507981711243</v>
      </c>
      <c r="O126" s="9">
        <v>0.46876680338660626</v>
      </c>
      <c r="P126" s="9">
        <v>0.46658002316610164</v>
      </c>
      <c r="Q126" s="9">
        <v>0.45157764243380272</v>
      </c>
      <c r="R126" s="9">
        <v>0.46631133092630012</v>
      </c>
      <c r="S126" s="9">
        <v>0.44624898099861132</v>
      </c>
      <c r="T126" s="9">
        <v>0.45290702783080317</v>
      </c>
      <c r="U126" s="9">
        <v>0.44649434386198111</v>
      </c>
      <c r="V126" s="9">
        <v>0.44929725641598323</v>
      </c>
    </row>
    <row r="127" spans="1:22">
      <c r="A127" s="13" t="s">
        <v>148</v>
      </c>
      <c r="B127" s="14" t="s">
        <v>155</v>
      </c>
      <c r="C127" s="15">
        <v>0.56039665737000444</v>
      </c>
      <c r="D127" s="15">
        <v>0.56302092560854111</v>
      </c>
      <c r="E127" s="15">
        <v>0.55594425317922824</v>
      </c>
      <c r="F127" s="15">
        <v>0.53402850342512931</v>
      </c>
      <c r="G127" s="15">
        <v>0.53860531148701096</v>
      </c>
      <c r="H127" s="15">
        <v>0.51102866786828749</v>
      </c>
      <c r="I127" s="15">
        <v>0.52140741872908047</v>
      </c>
      <c r="J127" s="15">
        <v>0.50196575884342565</v>
      </c>
      <c r="K127" s="15">
        <v>0.49850314982085148</v>
      </c>
      <c r="L127" s="15">
        <v>0.48423858601431657</v>
      </c>
      <c r="M127" s="15">
        <v>0.45921604673079641</v>
      </c>
      <c r="N127" s="15">
        <v>0.46227227159400824</v>
      </c>
      <c r="O127" s="15">
        <v>0.44896916483084465</v>
      </c>
      <c r="P127" s="15">
        <v>0.43826681063498146</v>
      </c>
      <c r="Q127" s="15">
        <v>0.43371808522032773</v>
      </c>
      <c r="R127" s="15">
        <v>0.45396065867689162</v>
      </c>
      <c r="S127" s="15">
        <v>0.43499976320742351</v>
      </c>
      <c r="T127" s="15">
        <v>0.44086375898180613</v>
      </c>
      <c r="U127" s="15">
        <v>0.44039632365226422</v>
      </c>
      <c r="V127" s="15">
        <v>0.44138902891808113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7952-F678-4CF1-9BC1-0C59C1ABAA5B}">
  <dimension ref="A1:AW127"/>
  <sheetViews>
    <sheetView topLeftCell="A9" zoomScale="130" zoomScaleNormal="130" workbookViewId="0">
      <selection activeCell="D82" sqref="D82"/>
    </sheetView>
  </sheetViews>
  <sheetFormatPr defaultRowHeight="15"/>
  <cols>
    <col min="1" max="1" width="15.7109375" style="2" customWidth="1"/>
    <col min="2" max="2" width="19.7109375" style="2" bestFit="1" customWidth="1"/>
    <col min="3" max="42" width="12.7109375" style="2" customWidth="1"/>
    <col min="43" max="16384" width="9.140625" style="2"/>
  </cols>
  <sheetData>
    <row r="1" spans="1:49" ht="21">
      <c r="A1" s="1" t="s">
        <v>156</v>
      </c>
    </row>
    <row r="2" spans="1:49">
      <c r="W2" s="3" t="s">
        <v>157</v>
      </c>
    </row>
    <row r="3" spans="1:49">
      <c r="A3" s="4"/>
      <c r="B3" s="5" t="s">
        <v>32</v>
      </c>
      <c r="C3" s="5">
        <v>2026</v>
      </c>
      <c r="D3" s="5">
        <v>2027</v>
      </c>
      <c r="E3" s="5">
        <v>2028</v>
      </c>
      <c r="F3" s="5">
        <v>2029</v>
      </c>
      <c r="G3" s="5">
        <v>2030</v>
      </c>
      <c r="H3" s="5">
        <v>2031</v>
      </c>
      <c r="I3" s="5">
        <v>2032</v>
      </c>
      <c r="J3" s="5">
        <v>2033</v>
      </c>
      <c r="K3" s="5">
        <v>2034</v>
      </c>
      <c r="L3" s="5">
        <v>2035</v>
      </c>
      <c r="M3" s="5">
        <v>2036</v>
      </c>
      <c r="N3" s="5">
        <v>2037</v>
      </c>
      <c r="O3" s="5">
        <v>2038</v>
      </c>
      <c r="P3" s="5">
        <v>2039</v>
      </c>
      <c r="Q3" s="5">
        <v>2040</v>
      </c>
      <c r="R3" s="5">
        <v>2041</v>
      </c>
      <c r="S3" s="5">
        <v>2042</v>
      </c>
      <c r="T3" s="5">
        <v>2043</v>
      </c>
      <c r="U3" s="5">
        <v>2044</v>
      </c>
      <c r="V3" s="5">
        <v>2045</v>
      </c>
      <c r="W3" s="5">
        <v>2046</v>
      </c>
      <c r="X3" s="5">
        <v>2047</v>
      </c>
      <c r="Y3" s="5">
        <v>2048</v>
      </c>
      <c r="Z3" s="5">
        <v>2049</v>
      </c>
      <c r="AA3" s="5">
        <v>2050</v>
      </c>
      <c r="AB3" s="5">
        <v>2051</v>
      </c>
      <c r="AC3" s="5">
        <v>2052</v>
      </c>
      <c r="AD3" s="5">
        <v>2053</v>
      </c>
      <c r="AE3" s="5">
        <v>2054</v>
      </c>
      <c r="AF3" s="5">
        <v>2055</v>
      </c>
      <c r="AG3" s="5">
        <v>2056</v>
      </c>
      <c r="AH3" s="5">
        <v>2057</v>
      </c>
      <c r="AI3" s="5">
        <v>2058</v>
      </c>
      <c r="AJ3" s="5">
        <v>2059</v>
      </c>
      <c r="AK3" s="5">
        <v>2060</v>
      </c>
      <c r="AL3" s="5">
        <v>2061</v>
      </c>
      <c r="AM3" s="5">
        <v>2062</v>
      </c>
      <c r="AN3" s="5">
        <v>2063</v>
      </c>
      <c r="AO3" s="5">
        <v>2064</v>
      </c>
      <c r="AP3" s="5">
        <v>2065</v>
      </c>
    </row>
    <row r="4" spans="1:49">
      <c r="A4" s="4"/>
      <c r="B4" s="6" t="s">
        <v>33</v>
      </c>
      <c r="C4" s="7">
        <v>996.26323363738049</v>
      </c>
      <c r="D4" s="7">
        <v>789.97800431540509</v>
      </c>
      <c r="E4" s="7">
        <v>768.77539650733729</v>
      </c>
      <c r="F4" s="7">
        <v>683.37102021298608</v>
      </c>
      <c r="G4" s="7">
        <v>631.36556496280059</v>
      </c>
      <c r="H4" s="7">
        <v>736.63646237487524</v>
      </c>
      <c r="I4" s="7">
        <v>788.49055384327846</v>
      </c>
      <c r="J4" s="7">
        <v>861.321668322135</v>
      </c>
      <c r="K4" s="7">
        <v>763.34010832890181</v>
      </c>
      <c r="L4" s="7">
        <v>763.95032600403704</v>
      </c>
      <c r="M4" s="7">
        <v>741.89445653217535</v>
      </c>
      <c r="N4" s="7">
        <v>725.3905610616423</v>
      </c>
      <c r="O4" s="7">
        <v>724.74116501244828</v>
      </c>
      <c r="P4" s="7">
        <v>715.97661012021115</v>
      </c>
      <c r="Q4" s="7">
        <v>670.63822323475949</v>
      </c>
      <c r="R4" s="7">
        <v>671.87989113490039</v>
      </c>
      <c r="S4" s="7">
        <v>678.14621234139202</v>
      </c>
      <c r="T4" s="7">
        <v>624.86350221993428</v>
      </c>
      <c r="U4" s="7">
        <v>631.68951193049259</v>
      </c>
      <c r="V4" s="7">
        <v>634.92542059275866</v>
      </c>
      <c r="W4" s="8">
        <v>629.09577144680327</v>
      </c>
      <c r="X4" s="8">
        <v>625.3318738508359</v>
      </c>
      <c r="Y4" s="8">
        <v>622.08964494361578</v>
      </c>
      <c r="Z4" s="8">
        <v>619.24375262115893</v>
      </c>
      <c r="AA4" s="8">
        <v>616.70904887652205</v>
      </c>
      <c r="AB4" s="8">
        <v>614.42506938899214</v>
      </c>
      <c r="AC4" s="8">
        <v>612.34734628036495</v>
      </c>
      <c r="AD4" s="8">
        <v>610.44223130883131</v>
      </c>
      <c r="AE4" s="8">
        <v>608.68365498061098</v>
      </c>
      <c r="AF4" s="8">
        <v>607.05101358961565</v>
      </c>
      <c r="AG4" s="8">
        <v>605.52774397710243</v>
      </c>
      <c r="AH4" s="8">
        <v>604.10033395552193</v>
      </c>
      <c r="AI4" s="8">
        <v>602.75761788414161</v>
      </c>
      <c r="AJ4" s="8">
        <v>601.49026422686495</v>
      </c>
      <c r="AK4" s="8">
        <v>600.29039559131684</v>
      </c>
      <c r="AL4" s="8">
        <v>599.15130219760056</v>
      </c>
      <c r="AM4" s="8">
        <v>598.06722252033717</v>
      </c>
      <c r="AN4" s="8">
        <v>597.03317306709573</v>
      </c>
      <c r="AO4" s="8">
        <v>596.04481466191658</v>
      </c>
      <c r="AP4" s="8">
        <v>595.09834623334086</v>
      </c>
      <c r="AQ4" s="7"/>
      <c r="AR4" s="9"/>
      <c r="AS4" s="9"/>
      <c r="AT4" s="9"/>
      <c r="AU4" s="9"/>
      <c r="AV4" s="9"/>
      <c r="AW4" s="9"/>
    </row>
    <row r="5" spans="1:49">
      <c r="A5" s="4"/>
      <c r="B5" s="6" t="s">
        <v>34</v>
      </c>
      <c r="C5" s="7">
        <v>710.49897007506024</v>
      </c>
      <c r="D5" s="7">
        <v>702.73994244048322</v>
      </c>
      <c r="E5" s="7">
        <v>695.91186921988515</v>
      </c>
      <c r="F5" s="7">
        <v>687.29007823738289</v>
      </c>
      <c r="G5" s="7">
        <v>683.99050243390377</v>
      </c>
      <c r="H5" s="7">
        <v>683.82626204792587</v>
      </c>
      <c r="I5" s="7">
        <v>694.03116293515166</v>
      </c>
      <c r="J5" s="7">
        <v>679.55415508750355</v>
      </c>
      <c r="K5" s="7">
        <v>699.67167679459715</v>
      </c>
      <c r="L5" s="7">
        <v>703.62567901467605</v>
      </c>
      <c r="M5" s="7">
        <v>746.89322908382337</v>
      </c>
      <c r="N5" s="7">
        <v>741.19377942380754</v>
      </c>
      <c r="O5" s="7">
        <v>729.51029528737388</v>
      </c>
      <c r="P5" s="7">
        <v>701.13382113047794</v>
      </c>
      <c r="Q5" s="7">
        <v>685.04884243806384</v>
      </c>
      <c r="R5" s="7"/>
      <c r="S5" s="7"/>
      <c r="T5" s="7"/>
      <c r="U5" s="7"/>
      <c r="V5" s="7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7"/>
      <c r="AR5" s="9"/>
      <c r="AS5" s="9"/>
      <c r="AT5" s="9"/>
      <c r="AU5" s="9"/>
      <c r="AV5" s="9"/>
      <c r="AW5" s="9"/>
    </row>
    <row r="6" spans="1:49">
      <c r="A6" s="4"/>
      <c r="B6" s="6" t="s">
        <v>35</v>
      </c>
      <c r="C6" s="7">
        <v>1210.7855320427755</v>
      </c>
      <c r="D6" s="7">
        <v>1173.1997694885765</v>
      </c>
      <c r="E6" s="7">
        <v>1129.0885794245507</v>
      </c>
      <c r="F6" s="7">
        <v>1079.3884335230293</v>
      </c>
      <c r="G6" s="7">
        <v>1007.2376750438588</v>
      </c>
      <c r="H6" s="7">
        <v>996.33967376623184</v>
      </c>
      <c r="I6" s="7">
        <v>948.52959413567942</v>
      </c>
      <c r="J6" s="7">
        <v>930.98355899621595</v>
      </c>
      <c r="K6" s="7">
        <v>939.92684326947801</v>
      </c>
      <c r="L6" s="7">
        <v>923.36677685304619</v>
      </c>
      <c r="M6" s="7">
        <v>866.63783760710044</v>
      </c>
      <c r="N6" s="7">
        <v>822.23592177103433</v>
      </c>
      <c r="O6" s="7">
        <v>787.8280095212325</v>
      </c>
      <c r="P6" s="7">
        <v>777.56654015615584</v>
      </c>
      <c r="Q6" s="7">
        <v>793.2690975689934</v>
      </c>
      <c r="R6" s="7">
        <v>786.42572431347276</v>
      </c>
      <c r="S6" s="7">
        <v>770.04672523546731</v>
      </c>
      <c r="T6" s="7">
        <v>773.84450750707504</v>
      </c>
      <c r="U6" s="7">
        <v>762.06568420995427</v>
      </c>
      <c r="V6" s="7">
        <v>757.22272071344696</v>
      </c>
      <c r="W6" s="8">
        <v>755.47832091394775</v>
      </c>
      <c r="X6" s="8">
        <v>752.77833255634357</v>
      </c>
      <c r="Y6" s="8">
        <v>750.44729718679639</v>
      </c>
      <c r="Z6" s="8">
        <v>748.39717048119121</v>
      </c>
      <c r="AA6" s="8">
        <v>746.56801589104418</v>
      </c>
      <c r="AB6" s="8">
        <v>744.91719588135345</v>
      </c>
      <c r="AC6" s="8">
        <v>743.4133028865939</v>
      </c>
      <c r="AD6" s="8">
        <v>742.03253674381654</v>
      </c>
      <c r="AE6" s="8">
        <v>740.75643344756952</v>
      </c>
      <c r="AF6" s="8">
        <v>739.57038236211167</v>
      </c>
      <c r="AG6" s="8">
        <v>738.46262480310156</v>
      </c>
      <c r="AH6" s="8">
        <v>737.42355793084869</v>
      </c>
      <c r="AI6" s="8">
        <v>736.44523870033913</v>
      </c>
      <c r="AJ6" s="8">
        <v>735.52102264256666</v>
      </c>
      <c r="AK6" s="8">
        <v>734.64529577979795</v>
      </c>
      <c r="AL6" s="8">
        <v>733.81327228190048</v>
      </c>
      <c r="AM6" s="8">
        <v>733.02083942956017</v>
      </c>
      <c r="AN6" s="8">
        <v>732.26443721025942</v>
      </c>
      <c r="AO6" s="8">
        <v>731.54096366413864</v>
      </c>
      <c r="AP6" s="8">
        <v>730.84769964531347</v>
      </c>
      <c r="AQ6" s="7"/>
      <c r="AR6" s="9"/>
      <c r="AS6" s="9"/>
      <c r="AT6" s="9"/>
      <c r="AU6" s="9"/>
      <c r="AV6" s="9"/>
      <c r="AW6" s="9"/>
    </row>
    <row r="7" spans="1:49">
      <c r="A7" s="4"/>
      <c r="B7" s="6" t="s">
        <v>36</v>
      </c>
      <c r="C7" s="7">
        <v>620.83236237705489</v>
      </c>
      <c r="D7" s="7">
        <v>619.868271159149</v>
      </c>
      <c r="E7" s="7">
        <v>529.42396777908903</v>
      </c>
      <c r="F7" s="7">
        <v>568.60351525453893</v>
      </c>
      <c r="G7" s="7">
        <v>573.22944357156086</v>
      </c>
      <c r="H7" s="7">
        <v>585.00141353970332</v>
      </c>
      <c r="I7" s="7">
        <v>578.82818210232244</v>
      </c>
      <c r="J7" s="7">
        <v>546.35531681201041</v>
      </c>
      <c r="K7" s="7">
        <v>547.812445440499</v>
      </c>
      <c r="L7" s="7">
        <v>532.97767822112894</v>
      </c>
      <c r="M7" s="7">
        <v>497.11076196893833</v>
      </c>
      <c r="N7" s="7">
        <v>430.12611259920214</v>
      </c>
      <c r="O7" s="7">
        <v>416.01470379879754</v>
      </c>
      <c r="P7" s="7">
        <v>391.90946928671741</v>
      </c>
      <c r="Q7" s="7">
        <v>356.01608769721372</v>
      </c>
      <c r="R7" s="7"/>
      <c r="S7" s="7"/>
      <c r="T7" s="7"/>
      <c r="U7" s="7"/>
      <c r="V7" s="7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7"/>
      <c r="AR7" s="9"/>
      <c r="AS7" s="9"/>
      <c r="AT7" s="9"/>
      <c r="AU7" s="9"/>
      <c r="AV7" s="9"/>
      <c r="AW7" s="9"/>
    </row>
    <row r="8" spans="1:49">
      <c r="A8" s="4"/>
      <c r="B8" s="6" t="s">
        <v>37</v>
      </c>
      <c r="C8" s="7">
        <v>1080.1737087851632</v>
      </c>
      <c r="D8" s="7">
        <v>1093.9366841073793</v>
      </c>
      <c r="E8" s="7">
        <v>1155.8362088796825</v>
      </c>
      <c r="F8" s="7">
        <v>1229.3918219550355</v>
      </c>
      <c r="G8" s="7">
        <v>1262.3465482565682</v>
      </c>
      <c r="H8" s="7">
        <v>1267.0060376602044</v>
      </c>
      <c r="I8" s="7">
        <v>1244.9093577418882</v>
      </c>
      <c r="J8" s="7">
        <v>1199.2516170700212</v>
      </c>
      <c r="K8" s="7">
        <v>1179.1653187217566</v>
      </c>
      <c r="L8" s="7">
        <v>1148.0477565445717</v>
      </c>
      <c r="M8" s="7">
        <v>1110.6838625707521</v>
      </c>
      <c r="N8" s="7">
        <v>1119.9261761200446</v>
      </c>
      <c r="O8" s="7">
        <v>1092.5255529131377</v>
      </c>
      <c r="P8" s="7">
        <v>1082.963285206215</v>
      </c>
      <c r="Q8" s="7">
        <v>1107.7308833854709</v>
      </c>
      <c r="R8" s="7">
        <v>1080.9964253162991</v>
      </c>
      <c r="S8" s="7">
        <v>1093.4175212420419</v>
      </c>
      <c r="T8" s="7">
        <v>1098.4759160930928</v>
      </c>
      <c r="U8" s="7">
        <v>1092.2395937155836</v>
      </c>
      <c r="V8" s="7">
        <v>1084.3826597226241</v>
      </c>
      <c r="W8" s="8">
        <v>1093.8604456673518</v>
      </c>
      <c r="X8" s="8">
        <v>1093.9429730123441</v>
      </c>
      <c r="Y8" s="8">
        <v>1094.0144664830486</v>
      </c>
      <c r="Z8" s="8">
        <v>1094.0775320717262</v>
      </c>
      <c r="AA8" s="8">
        <v>1094.1339492437103</v>
      </c>
      <c r="AB8" s="8">
        <v>1094.1849872898326</v>
      </c>
      <c r="AC8" s="8">
        <v>1094.2315834542337</v>
      </c>
      <c r="AD8" s="8">
        <v>1094.2744495226038</v>
      </c>
      <c r="AE8" s="8">
        <v>1094.3141388000706</v>
      </c>
      <c r="AF8" s="8">
        <v>1094.3510899273192</v>
      </c>
      <c r="AG8" s="8">
        <v>1094.3856565279173</v>
      </c>
      <c r="AH8" s="8">
        <v>1094.4181278525884</v>
      </c>
      <c r="AI8" s="8">
        <v>1094.4487435142269</v>
      </c>
      <c r="AJ8" s="8">
        <v>1094.4777042340029</v>
      </c>
      <c r="AK8" s="8">
        <v>1094.5051798280897</v>
      </c>
      <c r="AL8" s="8">
        <v>1094.5313152439114</v>
      </c>
      <c r="AM8" s="8">
        <v>1094.5562351909984</v>
      </c>
      <c r="AN8" s="8">
        <v>1094.580047741704</v>
      </c>
      <c r="AO8" s="8">
        <v>1094.602847165092</v>
      </c>
      <c r="AP8" s="8">
        <v>1094.6247161819958</v>
      </c>
      <c r="AQ8" s="7"/>
      <c r="AR8" s="9"/>
      <c r="AS8" s="9"/>
      <c r="AT8" s="9"/>
      <c r="AU8" s="9"/>
      <c r="AV8" s="9"/>
      <c r="AW8" s="9"/>
    </row>
    <row r="9" spans="1:49">
      <c r="A9" s="4"/>
      <c r="B9" s="6" t="s">
        <v>38</v>
      </c>
      <c r="C9" s="7">
        <v>993.45511394603864</v>
      </c>
      <c r="D9" s="7">
        <v>991.68181677380255</v>
      </c>
      <c r="E9" s="7">
        <v>1004.5727274920662</v>
      </c>
      <c r="F9" s="7">
        <v>988.87208515829309</v>
      </c>
      <c r="G9" s="7">
        <v>977.59605687209955</v>
      </c>
      <c r="H9" s="7">
        <v>984.04742195945016</v>
      </c>
      <c r="I9" s="7">
        <v>997.08947936590596</v>
      </c>
      <c r="J9" s="7">
        <v>975.49591906780097</v>
      </c>
      <c r="K9" s="7">
        <v>978.53985057477371</v>
      </c>
      <c r="L9" s="7">
        <v>945.40620339438897</v>
      </c>
      <c r="M9" s="7">
        <v>903.30994642940766</v>
      </c>
      <c r="N9" s="7">
        <v>897.58194400603963</v>
      </c>
      <c r="O9" s="7">
        <v>881.07439291906132</v>
      </c>
      <c r="P9" s="7">
        <v>874.40298611005812</v>
      </c>
      <c r="Q9" s="7">
        <v>845.83019120297934</v>
      </c>
      <c r="R9" s="7">
        <v>869.1701872284259</v>
      </c>
      <c r="S9" s="7">
        <v>838.29706312213068</v>
      </c>
      <c r="T9" s="7">
        <v>844.52071686515819</v>
      </c>
      <c r="U9" s="7">
        <v>836.48764265835143</v>
      </c>
      <c r="V9" s="7">
        <v>830.87792663625214</v>
      </c>
      <c r="W9" s="8">
        <v>825.99643420348912</v>
      </c>
      <c r="X9" s="8">
        <v>822.9689401345837</v>
      </c>
      <c r="Y9" s="8">
        <v>820.35537635862624</v>
      </c>
      <c r="Z9" s="8">
        <v>818.05694006481917</v>
      </c>
      <c r="AA9" s="8">
        <v>816.00637597169714</v>
      </c>
      <c r="AB9" s="8">
        <v>814.15584339676798</v>
      </c>
      <c r="AC9" s="8">
        <v>812.47010418005289</v>
      </c>
      <c r="AD9" s="8">
        <v>810.92245686071647</v>
      </c>
      <c r="AE9" s="8">
        <v>809.49218766647846</v>
      </c>
      <c r="AF9" s="8">
        <v>808.16290647126061</v>
      </c>
      <c r="AG9" s="8">
        <v>806.92142301737806</v>
      </c>
      <c r="AH9" s="8">
        <v>805.7569657881678</v>
      </c>
      <c r="AI9" s="8">
        <v>804.66062539434552</v>
      </c>
      <c r="AJ9" s="8">
        <v>803.62494926882823</v>
      </c>
      <c r="AK9" s="8">
        <v>802.64364087313106</v>
      </c>
      <c r="AL9" s="8">
        <v>801.71133267347284</v>
      </c>
      <c r="AM9" s="8">
        <v>800.82341219939462</v>
      </c>
      <c r="AN9" s="8">
        <v>799.97588696219475</v>
      </c>
      <c r="AO9" s="8">
        <v>799.16527826526226</v>
      </c>
      <c r="AP9" s="8">
        <v>798.38853679833642</v>
      </c>
      <c r="AQ9" s="7"/>
      <c r="AR9" s="9"/>
      <c r="AS9" s="9"/>
      <c r="AT9" s="9"/>
      <c r="AU9" s="9"/>
      <c r="AV9" s="9"/>
      <c r="AW9" s="9"/>
    </row>
    <row r="10" spans="1:49">
      <c r="A10" s="4"/>
      <c r="B10" s="6" t="s">
        <v>39</v>
      </c>
      <c r="C10" s="7">
        <v>889.92858527447845</v>
      </c>
      <c r="D10" s="7">
        <v>872.7193108205829</v>
      </c>
      <c r="E10" s="7">
        <v>832.45564952140182</v>
      </c>
      <c r="F10" s="7">
        <v>1095.8092841456553</v>
      </c>
      <c r="G10" s="7">
        <v>1074.040218453431</v>
      </c>
      <c r="H10" s="7">
        <v>1067.9795863255906</v>
      </c>
      <c r="I10" s="7">
        <v>1076.7870465109702</v>
      </c>
      <c r="J10" s="7">
        <v>1077.1732841178202</v>
      </c>
      <c r="K10" s="7">
        <v>1101.3137477984772</v>
      </c>
      <c r="L10" s="7">
        <v>1068.8928314389377</v>
      </c>
      <c r="M10" s="7">
        <v>1081.8287018783437</v>
      </c>
      <c r="N10" s="7">
        <v>1067.995845133325</v>
      </c>
      <c r="O10" s="7">
        <v>1059.8139109550293</v>
      </c>
      <c r="P10" s="7">
        <v>1059.5631703006839</v>
      </c>
      <c r="Q10" s="7">
        <v>1068.7207270002045</v>
      </c>
      <c r="R10" s="7">
        <v>1048.1860277575013</v>
      </c>
      <c r="S10" s="7">
        <v>1044.8019318881927</v>
      </c>
      <c r="T10" s="7">
        <v>1063.3792509010646</v>
      </c>
      <c r="U10" s="7">
        <v>1061.108625237157</v>
      </c>
      <c r="V10" s="7">
        <v>1051.5203455594283</v>
      </c>
      <c r="W10" s="8">
        <v>1063.1705768979493</v>
      </c>
      <c r="X10" s="8">
        <v>1066.6333900812845</v>
      </c>
      <c r="Y10" s="8">
        <v>1069.6421305267452</v>
      </c>
      <c r="Z10" s="8">
        <v>1072.3030715243863</v>
      </c>
      <c r="AA10" s="8">
        <v>1074.6889730390731</v>
      </c>
      <c r="AB10" s="8">
        <v>1076.8518564195733</v>
      </c>
      <c r="AC10" s="8">
        <v>1078.8302149428396</v>
      </c>
      <c r="AD10" s="8">
        <v>1080.6533378080421</v>
      </c>
      <c r="AE10" s="8">
        <v>1082.3440325484626</v>
      </c>
      <c r="AF10" s="8">
        <v>1083.9204091647855</v>
      </c>
      <c r="AG10" s="8">
        <v>1085.3970892940267</v>
      </c>
      <c r="AH10" s="8">
        <v>1086.7860494589067</v>
      </c>
      <c r="AI10" s="8">
        <v>1088.0972237887299</v>
      </c>
      <c r="AJ10" s="8">
        <v>1089.338944154995</v>
      </c>
      <c r="AK10" s="8">
        <v>1090.5182676925517</v>
      </c>
      <c r="AL10" s="8">
        <v>1091.6412246228006</v>
      </c>
      <c r="AM10" s="8">
        <v>1092.7130085864258</v>
      </c>
      <c r="AN10" s="8">
        <v>1093.7381247906317</v>
      </c>
      <c r="AO10" s="8">
        <v>1094.7205067219711</v>
      </c>
      <c r="AP10" s="8">
        <v>1095.6636091079563</v>
      </c>
      <c r="AQ10" s="7"/>
      <c r="AR10" s="9"/>
      <c r="AS10" s="9"/>
      <c r="AT10" s="9"/>
      <c r="AU10" s="9"/>
      <c r="AV10" s="9"/>
      <c r="AW10" s="9"/>
    </row>
    <row r="12" spans="1:49" s="10" customFormat="1">
      <c r="A12" s="5" t="s">
        <v>32</v>
      </c>
      <c r="B12" s="5" t="s">
        <v>40</v>
      </c>
      <c r="C12" s="5">
        <v>2026</v>
      </c>
      <c r="D12" s="5">
        <v>2027</v>
      </c>
      <c r="E12" s="5">
        <v>2028</v>
      </c>
      <c r="F12" s="5">
        <v>2029</v>
      </c>
      <c r="G12" s="5">
        <v>2030</v>
      </c>
      <c r="H12" s="5">
        <v>2031</v>
      </c>
      <c r="I12" s="5">
        <v>2032</v>
      </c>
      <c r="J12" s="5">
        <v>2033</v>
      </c>
      <c r="K12" s="5">
        <v>2034</v>
      </c>
      <c r="L12" s="5">
        <v>2035</v>
      </c>
      <c r="M12" s="5">
        <v>2036</v>
      </c>
      <c r="N12" s="5">
        <v>2037</v>
      </c>
      <c r="O12" s="5">
        <v>2038</v>
      </c>
      <c r="P12" s="5">
        <v>2039</v>
      </c>
      <c r="Q12" s="5">
        <v>2040</v>
      </c>
      <c r="R12" s="5">
        <v>2041</v>
      </c>
      <c r="S12" s="5">
        <v>2042</v>
      </c>
      <c r="T12" s="5">
        <v>2043</v>
      </c>
      <c r="U12" s="5">
        <v>2044</v>
      </c>
      <c r="V12" s="5">
        <v>2045</v>
      </c>
      <c r="W12" s="5">
        <v>2046</v>
      </c>
      <c r="X12" s="5">
        <v>2047</v>
      </c>
      <c r="Y12" s="5">
        <v>2048</v>
      </c>
      <c r="Z12" s="5">
        <v>2049</v>
      </c>
      <c r="AA12" s="5">
        <v>2050</v>
      </c>
      <c r="AB12" s="5">
        <v>2051</v>
      </c>
      <c r="AC12" s="5">
        <v>2052</v>
      </c>
      <c r="AD12" s="5">
        <v>2053</v>
      </c>
      <c r="AE12" s="5">
        <v>2054</v>
      </c>
      <c r="AF12" s="5">
        <v>2055</v>
      </c>
      <c r="AG12" s="5">
        <v>2056</v>
      </c>
      <c r="AH12" s="5">
        <v>2057</v>
      </c>
      <c r="AI12" s="5">
        <v>2058</v>
      </c>
      <c r="AJ12" s="5">
        <v>2059</v>
      </c>
      <c r="AK12" s="5">
        <v>2060</v>
      </c>
      <c r="AL12" s="5">
        <v>2061</v>
      </c>
      <c r="AM12" s="5">
        <v>2062</v>
      </c>
      <c r="AN12" s="5">
        <v>2063</v>
      </c>
      <c r="AO12" s="5">
        <v>2064</v>
      </c>
      <c r="AP12" s="5">
        <v>2065</v>
      </c>
    </row>
    <row r="13" spans="1:49" s="9" customFormat="1">
      <c r="A13" s="11" t="s">
        <v>33</v>
      </c>
      <c r="B13" s="6" t="s">
        <v>41</v>
      </c>
      <c r="C13" s="9">
        <v>870.12470431513759</v>
      </c>
      <c r="D13" s="9">
        <v>736.05414155285553</v>
      </c>
      <c r="E13" s="9">
        <v>783.95056619392051</v>
      </c>
      <c r="F13" s="9">
        <v>814.7550182923344</v>
      </c>
      <c r="G13" s="9">
        <v>847.53359381255711</v>
      </c>
      <c r="H13" s="9">
        <v>860.60628078835032</v>
      </c>
      <c r="I13" s="9">
        <v>883.62742735138818</v>
      </c>
      <c r="J13" s="9">
        <v>851.7641632055645</v>
      </c>
      <c r="K13" s="9">
        <v>779.38881749583572</v>
      </c>
      <c r="L13" s="9">
        <v>780.435557711309</v>
      </c>
      <c r="M13" s="9">
        <v>795.27918429764941</v>
      </c>
      <c r="N13" s="9">
        <v>836.76055480771799</v>
      </c>
      <c r="O13" s="9">
        <v>818.06653891086353</v>
      </c>
      <c r="P13" s="9">
        <v>824.6782839460551</v>
      </c>
      <c r="Q13" s="9">
        <v>803.77631701336895</v>
      </c>
      <c r="R13" s="9">
        <v>750.75020528097286</v>
      </c>
      <c r="S13" s="9">
        <v>766.48108719217282</v>
      </c>
      <c r="T13" s="9">
        <v>735.04046103762164</v>
      </c>
      <c r="U13" s="9">
        <v>744.79980001520926</v>
      </c>
      <c r="V13" s="9">
        <v>765.23174477657312</v>
      </c>
      <c r="W13" s="12">
        <v>752.01776237847105</v>
      </c>
      <c r="X13" s="12">
        <v>752.56445154274877</v>
      </c>
      <c r="Y13" s="12">
        <v>753.03833646567125</v>
      </c>
      <c r="Z13" s="12">
        <v>753.45658027352238</v>
      </c>
      <c r="AA13" s="12">
        <v>753.8309089426017</v>
      </c>
      <c r="AB13" s="12">
        <v>754.16969061912937</v>
      </c>
      <c r="AC13" s="12">
        <v>754.47910700111663</v>
      </c>
      <c r="AD13" s="12">
        <v>754.76385458165373</v>
      </c>
      <c r="AE13" s="12">
        <v>755.02758547211306</v>
      </c>
      <c r="AF13" s="12">
        <v>755.27319588832336</v>
      </c>
      <c r="AG13" s="12">
        <v>755.50302141439306</v>
      </c>
      <c r="AH13" s="12">
        <v>755.71897301250942</v>
      </c>
      <c r="AI13" s="12">
        <v>755.92263412893612</v>
      </c>
      <c r="AJ13" s="12">
        <v>756.11533153154141</v>
      </c>
      <c r="AK13" s="12">
        <v>756.29818797101393</v>
      </c>
      <c r="AL13" s="12">
        <v>756.47216199088928</v>
      </c>
      <c r="AM13" s="12">
        <v>756.63807847568307</v>
      </c>
      <c r="AN13" s="12">
        <v>756.79665240861266</v>
      </c>
      <c r="AO13" s="12">
        <v>756.94850757357415</v>
      </c>
      <c r="AP13" s="12">
        <v>757.09419144004244</v>
      </c>
    </row>
    <row r="14" spans="1:49" s="9" customFormat="1">
      <c r="A14" s="11" t="s">
        <v>33</v>
      </c>
      <c r="B14" s="6" t="s">
        <v>42</v>
      </c>
      <c r="C14" s="9">
        <v>987.18212036834427</v>
      </c>
      <c r="D14" s="9">
        <v>730.51108771911265</v>
      </c>
      <c r="E14" s="9">
        <v>707.14830414965991</v>
      </c>
      <c r="F14" s="9">
        <v>678.78098096930262</v>
      </c>
      <c r="G14" s="9">
        <v>619.61247278536393</v>
      </c>
      <c r="H14" s="9">
        <v>765.22383712095836</v>
      </c>
      <c r="I14" s="9">
        <v>837.81834175433255</v>
      </c>
      <c r="J14" s="9">
        <v>946.55792144743543</v>
      </c>
      <c r="K14" s="9">
        <v>880.86246063296619</v>
      </c>
      <c r="L14" s="9">
        <v>861.83536525159013</v>
      </c>
      <c r="M14" s="9">
        <v>856.4830189541625</v>
      </c>
      <c r="N14" s="9">
        <v>817.14501658631195</v>
      </c>
      <c r="O14" s="9">
        <v>840.26892332626096</v>
      </c>
      <c r="P14" s="9">
        <v>840.19398754007784</v>
      </c>
      <c r="Q14" s="9">
        <v>760.95161979076045</v>
      </c>
      <c r="R14" s="9">
        <v>811.52920796733815</v>
      </c>
      <c r="S14" s="9">
        <v>845.62938040644497</v>
      </c>
      <c r="T14" s="9">
        <v>731.79151000222896</v>
      </c>
      <c r="U14" s="9">
        <v>749.60913593303133</v>
      </c>
      <c r="V14" s="9">
        <v>755.8999141858078</v>
      </c>
      <c r="W14" s="12">
        <v>737.37909120043003</v>
      </c>
      <c r="X14" s="12">
        <v>732.04461273485481</v>
      </c>
      <c r="Y14" s="12">
        <v>727.45488119322124</v>
      </c>
      <c r="Z14" s="12">
        <v>723.43034279154324</v>
      </c>
      <c r="AA14" s="12">
        <v>719.84914075532072</v>
      </c>
      <c r="AB14" s="12">
        <v>716.6248239488591</v>
      </c>
      <c r="AC14" s="12">
        <v>713.69386567532558</v>
      </c>
      <c r="AD14" s="12">
        <v>711.00823239913586</v>
      </c>
      <c r="AE14" s="12">
        <v>708.53073506463772</v>
      </c>
      <c r="AF14" s="12">
        <v>706.23200043147051</v>
      </c>
      <c r="AG14" s="12">
        <v>704.08842949149243</v>
      </c>
      <c r="AH14" s="12">
        <v>702.08078079981181</v>
      </c>
      <c r="AI14" s="12">
        <v>700.19316258776689</v>
      </c>
      <c r="AJ14" s="12">
        <v>698.41229994454557</v>
      </c>
      <c r="AK14" s="12">
        <v>696.72699171921784</v>
      </c>
      <c r="AL14" s="12">
        <v>695.12770115532146</v>
      </c>
      <c r="AM14" s="12">
        <v>693.60624263204306</v>
      </c>
      <c r="AN14" s="12">
        <v>692.15553867616279</v>
      </c>
      <c r="AO14" s="12">
        <v>690.76942915938844</v>
      </c>
      <c r="AP14" s="12">
        <v>689.44251979924979</v>
      </c>
    </row>
    <row r="15" spans="1:49" s="9" customFormat="1">
      <c r="A15" s="11" t="s">
        <v>33</v>
      </c>
      <c r="B15" s="6" t="s">
        <v>43</v>
      </c>
      <c r="C15" s="9">
        <v>1067.9333647463004</v>
      </c>
      <c r="D15" s="9">
        <v>823.92245720981191</v>
      </c>
      <c r="E15" s="9">
        <v>782.52574507580619</v>
      </c>
      <c r="F15" s="9">
        <v>502.34931943498742</v>
      </c>
      <c r="G15" s="9">
        <v>314.86623965632162</v>
      </c>
      <c r="H15" s="9">
        <v>772.86854420501106</v>
      </c>
      <c r="I15" s="9">
        <v>872.50266656262636</v>
      </c>
      <c r="J15" s="9">
        <v>979.94924510650185</v>
      </c>
      <c r="K15" s="9">
        <v>715.20468110638876</v>
      </c>
      <c r="L15" s="9">
        <v>680.50126853716199</v>
      </c>
      <c r="M15" s="9">
        <v>640.28056553340059</v>
      </c>
      <c r="N15" s="9">
        <v>602.86955490004425</v>
      </c>
      <c r="O15" s="9">
        <v>567.61888215976057</v>
      </c>
      <c r="P15" s="9">
        <v>573.60936713220826</v>
      </c>
      <c r="Q15" s="9">
        <v>546.94350428947382</v>
      </c>
      <c r="R15" s="9">
        <v>518.07145935466997</v>
      </c>
      <c r="S15" s="9">
        <v>506.7393565766161</v>
      </c>
      <c r="T15" s="9">
        <v>506.68840539324844</v>
      </c>
      <c r="U15" s="9">
        <v>526.07334998322119</v>
      </c>
      <c r="V15" s="9">
        <v>522.00748879469393</v>
      </c>
      <c r="W15" s="12">
        <v>528.87714208760258</v>
      </c>
      <c r="X15" s="12">
        <v>528.60981698221997</v>
      </c>
      <c r="Y15" s="12">
        <v>528.37835866485727</v>
      </c>
      <c r="Z15" s="12">
        <v>528.1742820841979</v>
      </c>
      <c r="AA15" s="12">
        <v>527.99179615252149</v>
      </c>
      <c r="AB15" s="12">
        <v>527.82677186289732</v>
      </c>
      <c r="AC15" s="12">
        <v>527.67616152791129</v>
      </c>
      <c r="AD15" s="12">
        <v>527.5376514008218</v>
      </c>
      <c r="AE15" s="12">
        <v>527.40944346758533</v>
      </c>
      <c r="AF15" s="12">
        <v>527.29011274420361</v>
      </c>
      <c r="AG15" s="12">
        <v>527.17851074854684</v>
      </c>
      <c r="AH15" s="12">
        <v>527.07369830357823</v>
      </c>
      <c r="AI15" s="12">
        <v>526.97489758743518</v>
      </c>
      <c r="AJ15" s="12">
        <v>526.88145717240081</v>
      </c>
      <c r="AK15" s="12">
        <v>526.79282604700188</v>
      </c>
      <c r="AL15" s="12">
        <v>526.7085339864758</v>
      </c>
      <c r="AM15" s="12">
        <v>526.62817649651458</v>
      </c>
      <c r="AN15" s="12">
        <v>526.55140310852994</v>
      </c>
      <c r="AO15" s="12">
        <v>526.47790816928409</v>
      </c>
      <c r="AP15" s="12">
        <v>526.40742351304516</v>
      </c>
    </row>
    <row r="16" spans="1:49" s="9" customFormat="1">
      <c r="A16" s="11" t="s">
        <v>33</v>
      </c>
      <c r="B16" s="6" t="s">
        <v>44</v>
      </c>
      <c r="C16" s="9">
        <v>997.89747224362327</v>
      </c>
      <c r="D16" s="9">
        <v>750.3015583819971</v>
      </c>
      <c r="E16" s="9">
        <v>709.25015055945414</v>
      </c>
      <c r="F16" s="9">
        <v>728.41470463803375</v>
      </c>
      <c r="G16" s="9">
        <v>916.98388172163777</v>
      </c>
      <c r="H16" s="9">
        <v>398.00109056128696</v>
      </c>
      <c r="I16" s="9">
        <v>380.95590407783885</v>
      </c>
      <c r="J16" s="9">
        <v>456.58540549611786</v>
      </c>
      <c r="K16" s="9">
        <v>585.68937441419985</v>
      </c>
      <c r="L16" s="9">
        <v>574.56052352041388</v>
      </c>
      <c r="M16" s="9">
        <v>491.244483437437</v>
      </c>
      <c r="N16" s="9">
        <v>483.43374904552599</v>
      </c>
      <c r="O16" s="9">
        <v>528.72362338347727</v>
      </c>
      <c r="P16" s="9">
        <v>521.23442551980645</v>
      </c>
      <c r="Q16" s="9">
        <v>485.01379118604859</v>
      </c>
      <c r="R16" s="9">
        <v>569.11413424250713</v>
      </c>
      <c r="S16" s="9">
        <v>636.11204963326179</v>
      </c>
      <c r="T16" s="9">
        <v>428.04091200906748</v>
      </c>
      <c r="U16" s="9">
        <v>446.46909318016662</v>
      </c>
      <c r="V16" s="9">
        <v>441.58057074474004</v>
      </c>
      <c r="W16" s="12">
        <v>420.35361500635804</v>
      </c>
      <c r="X16" s="12">
        <v>407.35267278719056</v>
      </c>
      <c r="Y16" s="12">
        <v>396.41621662559112</v>
      </c>
      <c r="Z16" s="12">
        <v>387.0135549523165</v>
      </c>
      <c r="AA16" s="12">
        <v>378.79172658677356</v>
      </c>
      <c r="AB16" s="12">
        <v>371.50474974864255</v>
      </c>
      <c r="AC16" s="12">
        <v>364.97473498520304</v>
      </c>
      <c r="AD16" s="12">
        <v>359.06911013406562</v>
      </c>
      <c r="AE16" s="12">
        <v>353.6865831254247</v>
      </c>
      <c r="AF16" s="12">
        <v>348.74811934389049</v>
      </c>
      <c r="AG16" s="12">
        <v>344.19093458866433</v>
      </c>
      <c r="AH16" s="12">
        <v>339.96437430503954</v>
      </c>
      <c r="AI16" s="12">
        <v>336.02701300015366</v>
      </c>
      <c r="AJ16" s="12">
        <v>332.34456622087811</v>
      </c>
      <c r="AK16" s="12">
        <v>328.88835754036302</v>
      </c>
      <c r="AL16" s="12">
        <v>325.63417320019533</v>
      </c>
      <c r="AM16" s="12">
        <v>322.56139294342489</v>
      </c>
      <c r="AN16" s="12">
        <v>319.6523211460626</v>
      </c>
      <c r="AO16" s="12">
        <v>316.8916655456963</v>
      </c>
      <c r="AP16" s="12">
        <v>314.26612631406618</v>
      </c>
    </row>
    <row r="17" spans="1:42" s="9" customFormat="1">
      <c r="A17" s="11" t="s">
        <v>33</v>
      </c>
      <c r="B17" s="6" t="s">
        <v>45</v>
      </c>
      <c r="C17" s="9">
        <v>1051.118185683104</v>
      </c>
      <c r="D17" s="9">
        <v>780.27268852876591</v>
      </c>
      <c r="E17" s="9">
        <v>732.37027227348381</v>
      </c>
      <c r="F17" s="9">
        <v>704.31603511821436</v>
      </c>
      <c r="G17" s="9">
        <v>638.20844924500273</v>
      </c>
      <c r="H17" s="9">
        <v>789.72680029867979</v>
      </c>
      <c r="I17" s="9">
        <v>863.36217932159423</v>
      </c>
      <c r="J17" s="9">
        <v>972.74145235368781</v>
      </c>
      <c r="K17" s="9">
        <v>903.43802771423589</v>
      </c>
      <c r="L17" s="9">
        <v>901.80221656291667</v>
      </c>
      <c r="M17" s="9">
        <v>859.1511617391742</v>
      </c>
      <c r="N17" s="9">
        <v>823.67624529621185</v>
      </c>
      <c r="O17" s="9">
        <v>861.47213566069979</v>
      </c>
      <c r="P17" s="9">
        <v>837.75727394920102</v>
      </c>
      <c r="Q17" s="9">
        <v>721.58064210438954</v>
      </c>
      <c r="R17" s="9">
        <v>755.11633835636212</v>
      </c>
      <c r="S17" s="9">
        <v>802.62879451129857</v>
      </c>
      <c r="T17" s="9">
        <v>719.15963787118949</v>
      </c>
      <c r="U17" s="9">
        <v>754.76799231644236</v>
      </c>
      <c r="V17" s="9">
        <v>743.05201995774212</v>
      </c>
      <c r="W17" s="12">
        <v>744.44969001454854</v>
      </c>
      <c r="X17" s="12">
        <v>740.47847617522984</v>
      </c>
      <c r="Y17" s="12">
        <v>737.05558161631711</v>
      </c>
      <c r="Z17" s="12">
        <v>734.04951045745804</v>
      </c>
      <c r="AA17" s="12">
        <v>731.37087845732015</v>
      </c>
      <c r="AB17" s="12">
        <v>728.95618255343277</v>
      </c>
      <c r="AC17" s="12">
        <v>726.75869991271156</v>
      </c>
      <c r="AD17" s="12">
        <v>724.74306218363984</v>
      </c>
      <c r="AE17" s="12">
        <v>722.88185739984488</v>
      </c>
      <c r="AF17" s="12">
        <v>721.15341371684246</v>
      </c>
      <c r="AG17" s="12">
        <v>719.54030399074202</v>
      </c>
      <c r="AH17" s="12">
        <v>718.02830715224445</v>
      </c>
      <c r="AI17" s="12">
        <v>716.60566865330941</v>
      </c>
      <c r="AJ17" s="12">
        <v>715.26256232500748</v>
      </c>
      <c r="AK17" s="12">
        <v>713.99069125983806</v>
      </c>
      <c r="AL17" s="12">
        <v>712.78298676242866</v>
      </c>
      <c r="AM17" s="12">
        <v>711.63337782505164</v>
      </c>
      <c r="AN17" s="12">
        <v>710.53661220254651</v>
      </c>
      <c r="AO17" s="12">
        <v>709.48811583022166</v>
      </c>
      <c r="AP17" s="12">
        <v>708.483881136783</v>
      </c>
    </row>
    <row r="18" spans="1:42" s="9" customFormat="1">
      <c r="A18" s="11" t="s">
        <v>33</v>
      </c>
      <c r="B18" s="6" t="s">
        <v>46</v>
      </c>
      <c r="C18" s="9">
        <v>1032.2575288944481</v>
      </c>
      <c r="D18" s="9">
        <v>926.02640400948724</v>
      </c>
      <c r="E18" s="9">
        <v>903.5359666268082</v>
      </c>
      <c r="F18" s="9">
        <v>958.15587964219446</v>
      </c>
      <c r="G18" s="9">
        <v>989.87453634947212</v>
      </c>
      <c r="H18" s="9">
        <v>1020.5139729477737</v>
      </c>
      <c r="I18" s="9">
        <v>1022.0313622099475</v>
      </c>
      <c r="J18" s="9">
        <v>1078.6999211637306</v>
      </c>
      <c r="K18" s="9">
        <v>1048.3885284018518</v>
      </c>
      <c r="L18" s="9">
        <v>1111.3799276845884</v>
      </c>
      <c r="M18" s="9">
        <v>1156.5110538859501</v>
      </c>
      <c r="N18" s="9">
        <v>1146.6254148732262</v>
      </c>
      <c r="O18" s="9">
        <v>1157.0286304878261</v>
      </c>
      <c r="P18" s="9">
        <v>1065.3323633695359</v>
      </c>
      <c r="Q18" s="9">
        <v>1031.7354265721342</v>
      </c>
      <c r="R18" s="9">
        <v>1083.9720958837529</v>
      </c>
      <c r="S18" s="9">
        <v>1065.2578957695155</v>
      </c>
      <c r="T18" s="9">
        <v>1049.9248315852567</v>
      </c>
      <c r="U18" s="9">
        <v>996.50808955745799</v>
      </c>
      <c r="V18" s="9">
        <v>1006.0256350639554</v>
      </c>
      <c r="W18" s="12">
        <v>995.40715548582875</v>
      </c>
      <c r="X18" s="12">
        <v>987.12363363397492</v>
      </c>
      <c r="Y18" s="12">
        <v>980.00386050858583</v>
      </c>
      <c r="Z18" s="12">
        <v>973.76641262740566</v>
      </c>
      <c r="AA18" s="12">
        <v>968.22047266290031</v>
      </c>
      <c r="AB18" s="12">
        <v>963.23077493032838</v>
      </c>
      <c r="AC18" s="12">
        <v>958.69799443293243</v>
      </c>
      <c r="AD18" s="12">
        <v>954.54707926067147</v>
      </c>
      <c r="AE18" s="12">
        <v>950.71995676015945</v>
      </c>
      <c r="AF18" s="12">
        <v>947.17078443865569</v>
      </c>
      <c r="AG18" s="12">
        <v>943.86275046170113</v>
      </c>
      <c r="AH18" s="12">
        <v>940.76585465085384</v>
      </c>
      <c r="AI18" s="12">
        <v>937.85533054201142</v>
      </c>
      <c r="AJ18" s="12">
        <v>935.11049860876903</v>
      </c>
      <c r="AK18" s="12">
        <v>932.51391673770524</v>
      </c>
      <c r="AL18" s="12">
        <v>930.0507401474099</v>
      </c>
      <c r="AM18" s="12">
        <v>927.70823176479757</v>
      </c>
      <c r="AN18" s="12">
        <v>925.47538257125643</v>
      </c>
      <c r="AO18" s="12">
        <v>923.34261358724166</v>
      </c>
      <c r="AP18" s="12">
        <v>921.30153932246003</v>
      </c>
    </row>
    <row r="19" spans="1:42" s="9" customFormat="1">
      <c r="A19" s="11" t="s">
        <v>33</v>
      </c>
      <c r="B19" s="6" t="s">
        <v>47</v>
      </c>
      <c r="C19" s="9">
        <v>927.33384519876506</v>
      </c>
      <c r="D19" s="9">
        <v>819.76891009440851</v>
      </c>
      <c r="E19" s="9">
        <v>881.62493594841521</v>
      </c>
      <c r="F19" s="9">
        <v>830.04515258788297</v>
      </c>
      <c r="G19" s="9">
        <v>795.70176060345</v>
      </c>
      <c r="H19" s="9">
        <v>714.22551864963805</v>
      </c>
      <c r="I19" s="9">
        <v>729.98502259590055</v>
      </c>
      <c r="J19" s="9">
        <v>748.59236707302489</v>
      </c>
      <c r="K19" s="9">
        <v>736.95086892707138</v>
      </c>
      <c r="L19" s="9">
        <v>729.48399266968852</v>
      </c>
      <c r="M19" s="9">
        <v>754.61686152544951</v>
      </c>
      <c r="N19" s="9">
        <v>733.9641025518689</v>
      </c>
      <c r="O19" s="9">
        <v>680.97017225005254</v>
      </c>
      <c r="P19" s="9">
        <v>607.40926665899644</v>
      </c>
      <c r="Q19" s="9">
        <v>545.85767210510085</v>
      </c>
      <c r="R19" s="9">
        <v>503.53511772723584</v>
      </c>
      <c r="S19" s="9">
        <v>386.09022426459046</v>
      </c>
      <c r="T19" s="9">
        <v>376.51714775788611</v>
      </c>
      <c r="U19" s="9">
        <v>329.244433843754</v>
      </c>
      <c r="V19" s="9">
        <v>329.15925146327567</v>
      </c>
      <c r="W19" s="12">
        <v>316.7514795392126</v>
      </c>
      <c r="X19" s="12">
        <v>310.79318180660556</v>
      </c>
      <c r="Y19" s="12">
        <v>305.72254027084415</v>
      </c>
      <c r="Z19" s="12">
        <v>301.31863023404338</v>
      </c>
      <c r="AA19" s="12">
        <v>297.43298046342198</v>
      </c>
      <c r="AB19" s="12">
        <v>293.96116614968736</v>
      </c>
      <c r="AC19" s="12">
        <v>290.82704585971425</v>
      </c>
      <c r="AD19" s="12">
        <v>287.9734509879633</v>
      </c>
      <c r="AE19" s="12">
        <v>285.35640329019088</v>
      </c>
      <c r="AF19" s="12">
        <v>282.941372176203</v>
      </c>
      <c r="AG19" s="12">
        <v>280.70076695155626</v>
      </c>
      <c r="AH19" s="12">
        <v>278.61220633341418</v>
      </c>
      <c r="AI19" s="12">
        <v>276.65729366423994</v>
      </c>
      <c r="AJ19" s="12">
        <v>274.82073069435626</v>
      </c>
      <c r="AK19" s="12">
        <v>273.08966378077673</v>
      </c>
      <c r="AL19" s="12">
        <v>271.45319318790814</v>
      </c>
      <c r="AM19" s="12">
        <v>269.90199911033613</v>
      </c>
      <c r="AN19" s="12">
        <v>268.42805270158738</v>
      </c>
      <c r="AO19" s="12">
        <v>267.02438999347316</v>
      </c>
      <c r="AP19" s="12">
        <v>265.68493301184481</v>
      </c>
    </row>
    <row r="20" spans="1:42" s="15" customFormat="1">
      <c r="A20" s="13" t="s">
        <v>33</v>
      </c>
      <c r="B20" s="14" t="s">
        <v>48</v>
      </c>
      <c r="C20" s="15">
        <v>1052.0833258220282</v>
      </c>
      <c r="D20" s="15">
        <v>844.03296784571342</v>
      </c>
      <c r="E20" s="15">
        <v>738.59111708853573</v>
      </c>
      <c r="F20" s="15">
        <v>513.73702457634829</v>
      </c>
      <c r="G20" s="15">
        <v>455.77258054701548</v>
      </c>
      <c r="H20" s="15">
        <v>725.20106905607167</v>
      </c>
      <c r="I20" s="15">
        <v>794.25932830327065</v>
      </c>
      <c r="J20" s="15">
        <v>881.13941159183798</v>
      </c>
      <c r="K20" s="15">
        <v>677.1624214858806</v>
      </c>
      <c r="L20" s="15">
        <v>663.04837618654426</v>
      </c>
      <c r="M20" s="15">
        <v>608.21599685901595</v>
      </c>
      <c r="N20" s="15">
        <v>596.21914721105816</v>
      </c>
      <c r="O20" s="15">
        <v>592.22131628624845</v>
      </c>
      <c r="P20" s="15">
        <v>575.84861725843552</v>
      </c>
      <c r="Q20" s="15">
        <v>541.34643494977195</v>
      </c>
      <c r="R20" s="15">
        <v>516.64546182990534</v>
      </c>
      <c r="S20" s="15">
        <v>475.1035286879665</v>
      </c>
      <c r="T20" s="15">
        <v>472.78572113034426</v>
      </c>
      <c r="U20" s="15">
        <v>461.67054396270146</v>
      </c>
      <c r="V20" s="15">
        <v>484.28509624372509</v>
      </c>
      <c r="W20" s="16">
        <v>471.65965327029119</v>
      </c>
      <c r="X20" s="16">
        <v>472.20674302361977</v>
      </c>
      <c r="Y20" s="16">
        <v>472.68116663420074</v>
      </c>
      <c r="Z20" s="16">
        <v>473.10003354374913</v>
      </c>
      <c r="AA20" s="16">
        <v>473.47503727410248</v>
      </c>
      <c r="AB20" s="16">
        <v>473.81452547367229</v>
      </c>
      <c r="AC20" s="16">
        <v>474.12466646153251</v>
      </c>
      <c r="AD20" s="16">
        <v>474.41014778034639</v>
      </c>
      <c r="AE20" s="16">
        <v>474.67461544492096</v>
      </c>
      <c r="AF20" s="16">
        <v>474.92096146739703</v>
      </c>
      <c r="AG20" s="16">
        <v>475.15151851383644</v>
      </c>
      <c r="AH20" s="16">
        <v>475.36819551890784</v>
      </c>
      <c r="AI20" s="16">
        <v>475.5725745282835</v>
      </c>
      <c r="AJ20" s="16">
        <v>475.76598135649897</v>
      </c>
      <c r="AK20" s="16">
        <v>475.94953812341572</v>
      </c>
      <c r="AL20" s="16">
        <v>476.12420297622145</v>
      </c>
      <c r="AM20" s="16">
        <v>476.29080057457639</v>
      </c>
      <c r="AN20" s="16">
        <v>476.45004580271723</v>
      </c>
      <c r="AO20" s="16">
        <v>476.60256243804236</v>
      </c>
      <c r="AP20" s="16">
        <v>476.74889801135333</v>
      </c>
    </row>
    <row r="21" spans="1:42" s="9" customFormat="1">
      <c r="A21" s="11" t="s">
        <v>34</v>
      </c>
      <c r="B21" s="6" t="s">
        <v>49</v>
      </c>
      <c r="C21" s="9">
        <v>700.97850236028933</v>
      </c>
      <c r="D21" s="9">
        <v>697.08291930242649</v>
      </c>
      <c r="E21" s="9">
        <v>696.83105612898532</v>
      </c>
      <c r="F21" s="9">
        <v>699.39744190412841</v>
      </c>
      <c r="G21" s="9">
        <v>693.78504182023153</v>
      </c>
      <c r="H21" s="9">
        <v>695.04183664693642</v>
      </c>
      <c r="I21" s="9">
        <v>702.1253391345407</v>
      </c>
      <c r="J21" s="9">
        <v>692.54422261463822</v>
      </c>
      <c r="K21" s="9">
        <v>774.42395252824383</v>
      </c>
      <c r="L21" s="9">
        <v>794.3780477292662</v>
      </c>
      <c r="M21" s="9">
        <v>845.92785828122032</v>
      </c>
      <c r="N21" s="9">
        <v>832.36150141384121</v>
      </c>
      <c r="O21" s="9">
        <v>825.66643182791438</v>
      </c>
      <c r="P21" s="9">
        <v>792.21053708113982</v>
      </c>
      <c r="Q21" s="9">
        <v>780.03362965094209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</row>
    <row r="22" spans="1:42" s="9" customFormat="1">
      <c r="A22" s="11" t="s">
        <v>34</v>
      </c>
      <c r="B22" s="6" t="s">
        <v>50</v>
      </c>
      <c r="C22" s="9">
        <v>724.77919112267898</v>
      </c>
      <c r="D22" s="9">
        <v>720.69768555918233</v>
      </c>
      <c r="E22" s="9">
        <v>715.05435888663726</v>
      </c>
      <c r="F22" s="9">
        <v>680.80259944979548</v>
      </c>
      <c r="G22" s="9">
        <v>680.14336984074157</v>
      </c>
      <c r="H22" s="9">
        <v>680.13852929926747</v>
      </c>
      <c r="I22" s="9">
        <v>682.45792900948254</v>
      </c>
      <c r="J22" s="9">
        <v>663.20864018845418</v>
      </c>
      <c r="K22" s="9">
        <v>682.34821838090761</v>
      </c>
      <c r="L22" s="9">
        <v>634.17474194572276</v>
      </c>
      <c r="M22" s="9">
        <v>642.90695224599142</v>
      </c>
      <c r="N22" s="9">
        <v>636.97226127538067</v>
      </c>
      <c r="O22" s="9">
        <v>632.05768914636474</v>
      </c>
      <c r="P22" s="9">
        <v>622.83772352841947</v>
      </c>
      <c r="Q22" s="9">
        <v>570.47403994394847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</row>
    <row r="23" spans="1:42" s="9" customFormat="1">
      <c r="A23" s="11" t="s">
        <v>34</v>
      </c>
      <c r="B23" s="6" t="s">
        <v>51</v>
      </c>
      <c r="C23" s="9">
        <v>786.52749212882122</v>
      </c>
      <c r="D23" s="9">
        <v>768.23051190490071</v>
      </c>
      <c r="E23" s="9">
        <v>754.95759596885262</v>
      </c>
      <c r="F23" s="9">
        <v>737.62615305947259</v>
      </c>
      <c r="G23" s="9">
        <v>734.22097835177794</v>
      </c>
      <c r="H23" s="9">
        <v>730.1551817566816</v>
      </c>
      <c r="I23" s="9">
        <v>730.24852495168591</v>
      </c>
      <c r="J23" s="9">
        <v>717.36198429180433</v>
      </c>
      <c r="K23" s="9">
        <v>707.4398305614169</v>
      </c>
      <c r="L23" s="9">
        <v>673.41148021832089</v>
      </c>
      <c r="M23" s="9">
        <v>689.16084620869026</v>
      </c>
      <c r="N23" s="9">
        <v>682.61903658359836</v>
      </c>
      <c r="O23" s="9">
        <v>664.85445684508886</v>
      </c>
      <c r="P23" s="9">
        <v>648.3248126851322</v>
      </c>
      <c r="Q23" s="9">
        <v>633.74556830987353</v>
      </c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</row>
    <row r="24" spans="1:42" s="9" customFormat="1">
      <c r="A24" s="11" t="s">
        <v>34</v>
      </c>
      <c r="B24" s="6" t="s">
        <v>52</v>
      </c>
      <c r="C24" s="9">
        <v>677.48398964864657</v>
      </c>
      <c r="D24" s="9">
        <v>675.24290147744887</v>
      </c>
      <c r="E24" s="9">
        <v>669.31295646889464</v>
      </c>
      <c r="F24" s="9">
        <v>667.12652865667815</v>
      </c>
      <c r="G24" s="9">
        <v>667.93793862295047</v>
      </c>
      <c r="H24" s="9">
        <v>667.7152169639993</v>
      </c>
      <c r="I24" s="9">
        <v>682.33648717531219</v>
      </c>
      <c r="J24" s="9">
        <v>668.80729749484533</v>
      </c>
      <c r="K24" s="9">
        <v>659.90234513217433</v>
      </c>
      <c r="L24" s="9">
        <v>659.500424059034</v>
      </c>
      <c r="M24" s="9">
        <v>697.17074862353718</v>
      </c>
      <c r="N24" s="9">
        <v>679.81205017752302</v>
      </c>
      <c r="O24" s="9">
        <v>657.62206508833015</v>
      </c>
      <c r="P24" s="9">
        <v>645.69447735487836</v>
      </c>
      <c r="Q24" s="9">
        <v>644.21694347022776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</row>
    <row r="25" spans="1:42" s="9" customFormat="1">
      <c r="A25" s="11" t="s">
        <v>34</v>
      </c>
      <c r="B25" s="6" t="s">
        <v>53</v>
      </c>
      <c r="C25" s="9">
        <v>783.48038568544541</v>
      </c>
      <c r="D25" s="9">
        <v>763.84160381278252</v>
      </c>
      <c r="E25" s="9">
        <v>746.25600835680609</v>
      </c>
      <c r="F25" s="9">
        <v>738.4238479325478</v>
      </c>
      <c r="G25" s="9">
        <v>731.05027690562747</v>
      </c>
      <c r="H25" s="9">
        <v>728.00634778744143</v>
      </c>
      <c r="I25" s="9">
        <v>734.24573752586628</v>
      </c>
      <c r="J25" s="9">
        <v>723.2118818359229</v>
      </c>
      <c r="K25" s="9">
        <v>706.61843423746188</v>
      </c>
      <c r="L25" s="9">
        <v>699.18088341873215</v>
      </c>
      <c r="M25" s="9">
        <v>728.45812917636749</v>
      </c>
      <c r="N25" s="9">
        <v>710.27343631734857</v>
      </c>
      <c r="O25" s="9">
        <v>686.2875323151062</v>
      </c>
      <c r="P25" s="9">
        <v>669.37173304863018</v>
      </c>
      <c r="Q25" s="9">
        <v>654.52306167919915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</row>
    <row r="26" spans="1:42" s="9" customFormat="1">
      <c r="A26" s="11" t="s">
        <v>34</v>
      </c>
      <c r="B26" s="6" t="s">
        <v>54</v>
      </c>
      <c r="C26" s="9">
        <v>735.76132938882336</v>
      </c>
      <c r="D26" s="9">
        <v>734.52106481846806</v>
      </c>
      <c r="E26" s="9">
        <v>728.28419544286226</v>
      </c>
      <c r="F26" s="9">
        <v>729.89504490829529</v>
      </c>
      <c r="G26" s="9">
        <v>727.44907827720226</v>
      </c>
      <c r="H26" s="9">
        <v>731.60906433991931</v>
      </c>
      <c r="I26" s="9">
        <v>737.85155750741387</v>
      </c>
      <c r="J26" s="9">
        <v>727.39127697612241</v>
      </c>
      <c r="K26" s="9">
        <v>714.26430679615964</v>
      </c>
      <c r="L26" s="9">
        <v>708.94738281281354</v>
      </c>
      <c r="M26" s="9">
        <v>735.12883869608368</v>
      </c>
      <c r="N26" s="9">
        <v>721.88698907319974</v>
      </c>
      <c r="O26" s="9">
        <v>702.49744396354322</v>
      </c>
      <c r="P26" s="9">
        <v>692.58136899030239</v>
      </c>
      <c r="Q26" s="9">
        <v>677.1835418773544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</row>
    <row r="27" spans="1:42" s="9" customFormat="1">
      <c r="A27" s="11" t="s">
        <v>34</v>
      </c>
      <c r="B27" s="6" t="s">
        <v>55</v>
      </c>
      <c r="C27" s="9">
        <v>692.12379716717453</v>
      </c>
      <c r="D27" s="9">
        <v>680.74179558065714</v>
      </c>
      <c r="E27" s="9">
        <v>680.71122547069183</v>
      </c>
      <c r="F27" s="9">
        <v>685.14626539195467</v>
      </c>
      <c r="G27" s="9">
        <v>670.47599189827906</v>
      </c>
      <c r="H27" s="9">
        <v>672.15718876253061</v>
      </c>
      <c r="I27" s="9">
        <v>705.50245427906566</v>
      </c>
      <c r="J27" s="9">
        <v>688.10633031564862</v>
      </c>
      <c r="K27" s="9">
        <v>689.69688271587961</v>
      </c>
      <c r="L27" s="9">
        <v>673.06133054671386</v>
      </c>
      <c r="M27" s="9">
        <v>671.51047098439005</v>
      </c>
      <c r="N27" s="9">
        <v>679.35724636678117</v>
      </c>
      <c r="O27" s="9">
        <v>666.78841105357799</v>
      </c>
      <c r="P27" s="9">
        <v>639.19216947960945</v>
      </c>
      <c r="Q27" s="9">
        <v>641.21103627914363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</row>
    <row r="28" spans="1:42" s="15" customFormat="1">
      <c r="A28" s="13" t="s">
        <v>34</v>
      </c>
      <c r="B28" s="14" t="s">
        <v>56</v>
      </c>
      <c r="C28" s="15">
        <v>659.36583399614699</v>
      </c>
      <c r="D28" s="15">
        <v>650.763229718508</v>
      </c>
      <c r="E28" s="15">
        <v>644.99988554860897</v>
      </c>
      <c r="F28" s="15">
        <v>641.59311554631984</v>
      </c>
      <c r="G28" s="15">
        <v>640.17546325724072</v>
      </c>
      <c r="H28" s="15">
        <v>641.39073566431489</v>
      </c>
      <c r="I28" s="15">
        <v>662.32670093693253</v>
      </c>
      <c r="J28" s="15">
        <v>644.21026792262205</v>
      </c>
      <c r="K28" s="15">
        <v>633.68727732368347</v>
      </c>
      <c r="L28" s="15">
        <v>625.27426539868986</v>
      </c>
      <c r="M28" s="15">
        <v>651.39219341309445</v>
      </c>
      <c r="N28" s="15">
        <v>638.39990187450678</v>
      </c>
      <c r="O28" s="15">
        <v>619.12192562719167</v>
      </c>
      <c r="P28" s="15">
        <v>598.59327808856358</v>
      </c>
      <c r="Q28" s="15">
        <v>594.00783520441837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42" s="9" customFormat="1">
      <c r="A29" s="11" t="s">
        <v>35</v>
      </c>
      <c r="B29" s="6" t="s">
        <v>57</v>
      </c>
      <c r="C29" s="9">
        <v>1101.7935589525982</v>
      </c>
      <c r="D29" s="9">
        <v>1088.8355210886489</v>
      </c>
      <c r="E29" s="9">
        <v>1042.3697629223384</v>
      </c>
      <c r="F29" s="9">
        <v>971.50068412595454</v>
      </c>
      <c r="G29" s="9">
        <v>913.63276469018206</v>
      </c>
      <c r="H29" s="9">
        <v>959.59968978898951</v>
      </c>
      <c r="I29" s="9">
        <v>961.01164031165854</v>
      </c>
      <c r="J29" s="9">
        <v>923.37291944859044</v>
      </c>
      <c r="K29" s="9">
        <v>938.86845384926369</v>
      </c>
      <c r="L29" s="9">
        <v>906.9876776640474</v>
      </c>
      <c r="M29" s="9">
        <v>837.95328204787006</v>
      </c>
      <c r="N29" s="9">
        <v>793.61070271440542</v>
      </c>
      <c r="O29" s="9">
        <v>773.77062895287679</v>
      </c>
      <c r="P29" s="9">
        <v>781.92268835451</v>
      </c>
      <c r="Q29" s="9">
        <v>776.67233880899391</v>
      </c>
      <c r="R29" s="9">
        <v>733.03117395456843</v>
      </c>
      <c r="S29" s="9">
        <v>723.91940758731698</v>
      </c>
      <c r="T29" s="9">
        <v>711.77201120616871</v>
      </c>
      <c r="U29" s="9">
        <v>691.06184851714352</v>
      </c>
      <c r="V29" s="9">
        <v>677.80748964606266</v>
      </c>
      <c r="W29" s="12">
        <v>677.81509369759794</v>
      </c>
      <c r="X29" s="12">
        <v>672.64509488852991</v>
      </c>
      <c r="Y29" s="12">
        <v>668.19852369295836</v>
      </c>
      <c r="Z29" s="12">
        <v>664.30077505538839</v>
      </c>
      <c r="AA29" s="12">
        <v>660.8333899270018</v>
      </c>
      <c r="AB29" s="12">
        <v>657.71235223877261</v>
      </c>
      <c r="AC29" s="12">
        <v>654.87594080950691</v>
      </c>
      <c r="AD29" s="12">
        <v>652.27749835141765</v>
      </c>
      <c r="AE29" s="12">
        <v>649.88090917690818</v>
      </c>
      <c r="AF29" s="12">
        <v>647.6576535293857</v>
      </c>
      <c r="AG29" s="12">
        <v>645.58482235005511</v>
      </c>
      <c r="AH29" s="12">
        <v>643.64373996955874</v>
      </c>
      <c r="AI29" s="12">
        <v>641.81898439542499</v>
      </c>
      <c r="AJ29" s="12">
        <v>640.09767509541177</v>
      </c>
      <c r="AK29" s="12">
        <v>638.46894524873983</v>
      </c>
      <c r="AL29" s="12">
        <v>636.92354400789941</v>
      </c>
      <c r="AM29" s="12">
        <v>635.45353217903187</v>
      </c>
      <c r="AN29" s="12">
        <v>634.05204619849735</v>
      </c>
      <c r="AO29" s="12">
        <v>632.7131128219911</v>
      </c>
      <c r="AP29" s="12">
        <v>631.43150200331456</v>
      </c>
    </row>
    <row r="30" spans="1:42" s="9" customFormat="1">
      <c r="A30" s="11" t="s">
        <v>35</v>
      </c>
      <c r="B30" s="6" t="s">
        <v>58</v>
      </c>
      <c r="C30" s="9">
        <v>1348.0077949684967</v>
      </c>
      <c r="D30" s="9">
        <v>1298.1916882806183</v>
      </c>
      <c r="E30" s="9">
        <v>1251.4137014869718</v>
      </c>
      <c r="F30" s="9">
        <v>1180.7293796116851</v>
      </c>
      <c r="G30" s="9">
        <v>1133.3384395934986</v>
      </c>
      <c r="H30" s="9">
        <v>1165.2453787520224</v>
      </c>
      <c r="I30" s="9">
        <v>1154.8283813536787</v>
      </c>
      <c r="J30" s="9">
        <v>1149.9449259269509</v>
      </c>
      <c r="K30" s="9">
        <v>1140.6805654592551</v>
      </c>
      <c r="L30" s="9">
        <v>1120.016204253277</v>
      </c>
      <c r="M30" s="9">
        <v>1026.8765777184481</v>
      </c>
      <c r="N30" s="9">
        <v>984.65925371521962</v>
      </c>
      <c r="O30" s="9">
        <v>933.12798374964768</v>
      </c>
      <c r="P30" s="9">
        <v>958.90467669801217</v>
      </c>
      <c r="Q30" s="9">
        <v>940.0749904053738</v>
      </c>
      <c r="R30" s="9">
        <v>926.606872695486</v>
      </c>
      <c r="S30" s="9">
        <v>876.61391444387891</v>
      </c>
      <c r="T30" s="9">
        <v>867.96770803571962</v>
      </c>
      <c r="U30" s="9">
        <v>861.46554148093765</v>
      </c>
      <c r="V30" s="9">
        <v>841.667893591709</v>
      </c>
      <c r="W30" s="12">
        <v>835.73470512060555</v>
      </c>
      <c r="X30" s="12">
        <v>828.70815078547719</v>
      </c>
      <c r="Y30" s="12">
        <v>822.66924251948433</v>
      </c>
      <c r="Z30" s="12">
        <v>817.37908580033854</v>
      </c>
      <c r="AA30" s="12">
        <v>812.67571150242827</v>
      </c>
      <c r="AB30" s="12">
        <v>808.44431105661909</v>
      </c>
      <c r="AC30" s="12">
        <v>804.60058586366097</v>
      </c>
      <c r="AD30" s="12">
        <v>801.08084155831295</v>
      </c>
      <c r="AE30" s="12">
        <v>797.83579591296575</v>
      </c>
      <c r="AF30" s="12">
        <v>794.8265472882739</v>
      </c>
      <c r="AG30" s="12">
        <v>792.02185866825914</v>
      </c>
      <c r="AH30" s="12">
        <v>789.39627409103718</v>
      </c>
      <c r="AI30" s="12">
        <v>786.92877928618293</v>
      </c>
      <c r="AJ30" s="12">
        <v>784.60182832137389</v>
      </c>
      <c r="AK30" s="12">
        <v>782.40062257275736</v>
      </c>
      <c r="AL30" s="12">
        <v>780.31256747679936</v>
      </c>
      <c r="AM30" s="12">
        <v>778.32685699037586</v>
      </c>
      <c r="AN30" s="12">
        <v>776.43415139058504</v>
      </c>
      <c r="AO30" s="12">
        <v>774.62632436536467</v>
      </c>
      <c r="AP30" s="12">
        <v>772.89626227177087</v>
      </c>
    </row>
    <row r="31" spans="1:42" s="9" customFormat="1">
      <c r="A31" s="11" t="s">
        <v>35</v>
      </c>
      <c r="B31" s="6" t="s">
        <v>59</v>
      </c>
      <c r="C31" s="9">
        <v>1399.3893246226828</v>
      </c>
      <c r="D31" s="9">
        <v>1333.602677900567</v>
      </c>
      <c r="E31" s="9">
        <v>1285.5501128316321</v>
      </c>
      <c r="F31" s="9">
        <v>1215.7788232802827</v>
      </c>
      <c r="G31" s="9">
        <v>1125.6186310844848</v>
      </c>
      <c r="H31" s="9">
        <v>1163.22241130882</v>
      </c>
      <c r="I31" s="9">
        <v>1142.815906855167</v>
      </c>
      <c r="J31" s="9">
        <v>1143.2943337762954</v>
      </c>
      <c r="K31" s="9">
        <v>1113.351189998448</v>
      </c>
      <c r="L31" s="9">
        <v>1109.1010204955446</v>
      </c>
      <c r="M31" s="9">
        <v>989.75853663511361</v>
      </c>
      <c r="N31" s="9">
        <v>960.6030425342318</v>
      </c>
      <c r="O31" s="9">
        <v>898.46028117766673</v>
      </c>
      <c r="P31" s="9">
        <v>899.24155090020452</v>
      </c>
      <c r="Q31" s="9">
        <v>893.98423194827103</v>
      </c>
      <c r="R31" s="9">
        <v>879.51207232481522</v>
      </c>
      <c r="S31" s="9">
        <v>852.1999335837869</v>
      </c>
      <c r="T31" s="9">
        <v>870.52896679230332</v>
      </c>
      <c r="U31" s="9">
        <v>812.22085125482886</v>
      </c>
      <c r="V31" s="9">
        <v>805.17870721488566</v>
      </c>
      <c r="W31" s="12">
        <v>804.83212414385423</v>
      </c>
      <c r="X31" s="12">
        <v>798.91270435185504</v>
      </c>
      <c r="Y31" s="12">
        <v>793.82027198817332</v>
      </c>
      <c r="Z31" s="12">
        <v>789.35537860534657</v>
      </c>
      <c r="AA31" s="12">
        <v>785.38267935092131</v>
      </c>
      <c r="AB31" s="12">
        <v>781.80616258740065</v>
      </c>
      <c r="AC31" s="12">
        <v>778.55528195570014</v>
      </c>
      <c r="AD31" s="12">
        <v>775.57670012052199</v>
      </c>
      <c r="AE31" s="12">
        <v>772.82912440442669</v>
      </c>
      <c r="AF31" s="12">
        <v>770.27994237754854</v>
      </c>
      <c r="AG31" s="12">
        <v>767.90295409410965</v>
      </c>
      <c r="AH31" s="12">
        <v>765.6767985659443</v>
      </c>
      <c r="AI31" s="12">
        <v>763.58383433945687</v>
      </c>
      <c r="AJ31" s="12">
        <v>761.60932562200799</v>
      </c>
      <c r="AK31" s="12">
        <v>759.74083914161452</v>
      </c>
      <c r="AL31" s="12">
        <v>757.96778954421745</v>
      </c>
      <c r="AM31" s="12">
        <v>756.28109153250386</v>
      </c>
      <c r="AN31" s="12">
        <v>754.67289004830002</v>
      </c>
      <c r="AO31" s="12">
        <v>753.13634841043972</v>
      </c>
      <c r="AP31" s="12">
        <v>751.66548010032216</v>
      </c>
    </row>
    <row r="32" spans="1:42" s="9" customFormat="1">
      <c r="A32" s="11" t="s">
        <v>35</v>
      </c>
      <c r="B32" s="6" t="s">
        <v>60</v>
      </c>
      <c r="C32" s="9">
        <v>1298.8978479591487</v>
      </c>
      <c r="D32" s="9">
        <v>1263.6853966958556</v>
      </c>
      <c r="E32" s="9">
        <v>1206.3660241220468</v>
      </c>
      <c r="F32" s="9">
        <v>1130.0442304364885</v>
      </c>
      <c r="G32" s="9">
        <v>1058.2646768378436</v>
      </c>
      <c r="H32" s="9">
        <v>1078.7988468674951</v>
      </c>
      <c r="I32" s="9">
        <v>1076.7092921431599</v>
      </c>
      <c r="J32" s="9">
        <v>1088.2955664714527</v>
      </c>
      <c r="K32" s="9">
        <v>1026.7017864623517</v>
      </c>
      <c r="L32" s="9">
        <v>1027.6974105841566</v>
      </c>
      <c r="M32" s="9">
        <v>906.07446115295113</v>
      </c>
      <c r="N32" s="9">
        <v>878.75159628887343</v>
      </c>
      <c r="O32" s="9">
        <v>839.71531561254085</v>
      </c>
      <c r="P32" s="9">
        <v>835.40802841068898</v>
      </c>
      <c r="Q32" s="9">
        <v>820.43645403114317</v>
      </c>
      <c r="R32" s="9">
        <v>792.75768825517639</v>
      </c>
      <c r="S32" s="9">
        <v>785.14135126717053</v>
      </c>
      <c r="T32" s="9">
        <v>804.06428514549918</v>
      </c>
      <c r="U32" s="9">
        <v>768.1332354700935</v>
      </c>
      <c r="V32" s="9">
        <v>740.15889969773832</v>
      </c>
      <c r="W32" s="12">
        <v>756.08744249408278</v>
      </c>
      <c r="X32" s="12">
        <v>752.24769998350553</v>
      </c>
      <c r="Y32" s="12">
        <v>748.9373291638168</v>
      </c>
      <c r="Z32" s="12">
        <v>746.02946919213878</v>
      </c>
      <c r="AA32" s="12">
        <v>743.43786795152823</v>
      </c>
      <c r="AB32" s="12">
        <v>741.10123596257222</v>
      </c>
      <c r="AC32" s="12">
        <v>738.97447138018447</v>
      </c>
      <c r="AD32" s="12">
        <v>737.02342764916682</v>
      </c>
      <c r="AE32" s="12">
        <v>735.22163601681711</v>
      </c>
      <c r="AF32" s="12">
        <v>733.54816762421581</v>
      </c>
      <c r="AG32" s="12">
        <v>731.98619076397404</v>
      </c>
      <c r="AH32" s="12">
        <v>730.52196871934439</v>
      </c>
      <c r="AI32" s="12">
        <v>729.14414609473556</v>
      </c>
      <c r="AJ32" s="12">
        <v>727.84322945295617</v>
      </c>
      <c r="AK32" s="12">
        <v>726.61120208697491</v>
      </c>
      <c r="AL32" s="12">
        <v>725.44123341989587</v>
      </c>
      <c r="AM32" s="12">
        <v>724.32745646206013</v>
      </c>
      <c r="AN32" s="12">
        <v>723.26479506640499</v>
      </c>
      <c r="AO32" s="12">
        <v>722.24882819145205</v>
      </c>
      <c r="AP32" s="12">
        <v>721.27568205520788</v>
      </c>
    </row>
    <row r="33" spans="1:42" s="9" customFormat="1">
      <c r="A33" s="11" t="s">
        <v>35</v>
      </c>
      <c r="B33" s="6" t="s">
        <v>61</v>
      </c>
      <c r="C33" s="9">
        <v>1351.6123480792696</v>
      </c>
      <c r="D33" s="9">
        <v>1253.6784523918268</v>
      </c>
      <c r="E33" s="9">
        <v>1244.8019890837277</v>
      </c>
      <c r="F33" s="9">
        <v>1217.4228876423297</v>
      </c>
      <c r="G33" s="9">
        <v>1142.7976400099324</v>
      </c>
      <c r="H33" s="9">
        <v>1186.1923142543003</v>
      </c>
      <c r="I33" s="9">
        <v>1178.0191990020371</v>
      </c>
      <c r="J33" s="9">
        <v>1143.0960048130985</v>
      </c>
      <c r="K33" s="9">
        <v>1109.7820659087806</v>
      </c>
      <c r="L33" s="9">
        <v>1086.4109031935898</v>
      </c>
      <c r="M33" s="9">
        <v>996.73723296935498</v>
      </c>
      <c r="N33" s="9">
        <v>936.30253538872842</v>
      </c>
      <c r="O33" s="9">
        <v>879.3911978961205</v>
      </c>
      <c r="P33" s="9">
        <v>831.14927837783171</v>
      </c>
      <c r="Q33" s="9">
        <v>856.6624427738634</v>
      </c>
      <c r="R33" s="9">
        <v>858.92852340274999</v>
      </c>
      <c r="S33" s="9">
        <v>805.44825217718881</v>
      </c>
      <c r="T33" s="9">
        <v>799.69774658034828</v>
      </c>
      <c r="U33" s="9">
        <v>792.10052979442708</v>
      </c>
      <c r="V33" s="9">
        <v>788.47841184584479</v>
      </c>
      <c r="W33" s="12">
        <v>773.43281877569416</v>
      </c>
      <c r="X33" s="12">
        <v>767.33808658812052</v>
      </c>
      <c r="Y33" s="12">
        <v>762.09742366994442</v>
      </c>
      <c r="Z33" s="12">
        <v>757.50454843559658</v>
      </c>
      <c r="AA33" s="12">
        <v>753.41954098206099</v>
      </c>
      <c r="AB33" s="12">
        <v>749.74318295707678</v>
      </c>
      <c r="AC33" s="12">
        <v>746.4025973126636</v>
      </c>
      <c r="AD33" s="12">
        <v>743.34270203733263</v>
      </c>
      <c r="AE33" s="12">
        <v>740.52086612115443</v>
      </c>
      <c r="AF33" s="12">
        <v>737.90342912729022</v>
      </c>
      <c r="AG33" s="12">
        <v>735.46335586453154</v>
      </c>
      <c r="AH33" s="12">
        <v>733.17860945071129</v>
      </c>
      <c r="AI33" s="12">
        <v>731.03099416377427</v>
      </c>
      <c r="AJ33" s="12">
        <v>729.00531432357866</v>
      </c>
      <c r="AK33" s="12">
        <v>727.08875108933739</v>
      </c>
      <c r="AL33" s="12">
        <v>725.27039282635405</v>
      </c>
      <c r="AM33" s="12">
        <v>723.54087580930582</v>
      </c>
      <c r="AN33" s="12">
        <v>721.89210558310651</v>
      </c>
      <c r="AO33" s="12">
        <v>720.31703821022074</v>
      </c>
      <c r="AP33" s="12">
        <v>718.80950661262921</v>
      </c>
    </row>
    <row r="34" spans="1:42" s="9" customFormat="1">
      <c r="A34" s="11" t="s">
        <v>35</v>
      </c>
      <c r="B34" s="6" t="s">
        <v>62</v>
      </c>
      <c r="C34" s="9">
        <v>960.01779439846041</v>
      </c>
      <c r="D34" s="9">
        <v>988.03956471314768</v>
      </c>
      <c r="E34" s="9">
        <v>977.22272781224365</v>
      </c>
      <c r="F34" s="9">
        <v>904.62179943477076</v>
      </c>
      <c r="G34" s="9">
        <v>876.084217086742</v>
      </c>
      <c r="H34" s="9">
        <v>911.14488254387209</v>
      </c>
      <c r="I34" s="9">
        <v>836.84452369269309</v>
      </c>
      <c r="J34" s="9">
        <v>762.22023278240908</v>
      </c>
      <c r="K34" s="9">
        <v>805.50739009533515</v>
      </c>
      <c r="L34" s="9">
        <v>778.22074983666425</v>
      </c>
      <c r="M34" s="9">
        <v>780.41678670858425</v>
      </c>
      <c r="N34" s="9">
        <v>763.08684859488972</v>
      </c>
      <c r="O34" s="9">
        <v>720.77618555051333</v>
      </c>
      <c r="P34" s="9">
        <v>764.92204663681127</v>
      </c>
      <c r="Q34" s="9">
        <v>784.72625565369299</v>
      </c>
      <c r="R34" s="9">
        <v>802.27338706467935</v>
      </c>
      <c r="S34" s="9">
        <v>789.49432072514094</v>
      </c>
      <c r="T34" s="9">
        <v>780.7529799696166</v>
      </c>
      <c r="U34" s="9">
        <v>797.24988077977537</v>
      </c>
      <c r="V34" s="9">
        <v>802.27798815820756</v>
      </c>
      <c r="W34" s="12">
        <v>793.18070960111947</v>
      </c>
      <c r="X34" s="12">
        <v>792.4419090826002</v>
      </c>
      <c r="Y34" s="12">
        <v>791.80248722076465</v>
      </c>
      <c r="Z34" s="12">
        <v>791.23890544382812</v>
      </c>
      <c r="AA34" s="12">
        <v>790.7351042836267</v>
      </c>
      <c r="AB34" s="12">
        <v>790.27963704664137</v>
      </c>
      <c r="AC34" s="12">
        <v>789.86405712176247</v>
      </c>
      <c r="AD34" s="12">
        <v>789.48195363822447</v>
      </c>
      <c r="AE34" s="12">
        <v>789.12834586719259</v>
      </c>
      <c r="AF34" s="12">
        <v>788.79928726963726</v>
      </c>
      <c r="AG34" s="12">
        <v>788.4915977215453</v>
      </c>
      <c r="AH34" s="12">
        <v>788.20267714386716</v>
      </c>
      <c r="AI34" s="12">
        <v>787.93037253860439</v>
      </c>
      <c r="AJ34" s="12">
        <v>787.67288105982936</v>
      </c>
      <c r="AK34" s="12">
        <v>787.4286780022112</v>
      </c>
      <c r="AL34" s="12">
        <v>787.19646239588133</v>
      </c>
      <c r="AM34" s="12">
        <v>786.97511528272435</v>
      </c>
      <c r="AN34" s="12">
        <v>786.76366728490825</v>
      </c>
      <c r="AO34" s="12">
        <v>786.56127308819043</v>
      </c>
      <c r="AP34" s="12">
        <v>786.36719114320601</v>
      </c>
    </row>
    <row r="35" spans="1:42" s="9" customFormat="1">
      <c r="A35" s="11" t="s">
        <v>35</v>
      </c>
      <c r="B35" s="6" t="s">
        <v>63</v>
      </c>
      <c r="C35" s="9">
        <v>1263.9552774549968</v>
      </c>
      <c r="D35" s="9">
        <v>1217.6856985486525</v>
      </c>
      <c r="E35" s="9">
        <v>1183.6108289286299</v>
      </c>
      <c r="F35" s="9">
        <v>1134.4944657980745</v>
      </c>
      <c r="G35" s="9">
        <v>1066.8471749051462</v>
      </c>
      <c r="H35" s="9">
        <v>1125.7689953057545</v>
      </c>
      <c r="I35" s="9">
        <v>1110.6353922676301</v>
      </c>
      <c r="J35" s="9">
        <v>1089.290846533831</v>
      </c>
      <c r="K35" s="9">
        <v>1070.362196523655</v>
      </c>
      <c r="L35" s="9">
        <v>1041.4233952842876</v>
      </c>
      <c r="M35" s="9">
        <v>954.74594224744692</v>
      </c>
      <c r="N35" s="9">
        <v>916.29658810532771</v>
      </c>
      <c r="O35" s="9">
        <v>866.34256956952038</v>
      </c>
      <c r="P35" s="9">
        <v>853.20957483333996</v>
      </c>
      <c r="Q35" s="9">
        <v>874.94643107332081</v>
      </c>
      <c r="R35" s="9">
        <v>861.61221686237457</v>
      </c>
      <c r="S35" s="9">
        <v>830.06250138060159</v>
      </c>
      <c r="T35" s="9">
        <v>820.73134900676666</v>
      </c>
      <c r="U35" s="9">
        <v>808.58560648624689</v>
      </c>
      <c r="V35" s="9">
        <v>798.85539229660628</v>
      </c>
      <c r="W35" s="12">
        <v>791.62726551419121</v>
      </c>
      <c r="X35" s="12">
        <v>785.73849541142977</v>
      </c>
      <c r="Y35" s="12">
        <v>780.67283068296285</v>
      </c>
      <c r="Z35" s="12">
        <v>776.23171265809833</v>
      </c>
      <c r="AA35" s="12">
        <v>772.28040980540118</v>
      </c>
      <c r="AB35" s="12">
        <v>768.72335153394749</v>
      </c>
      <c r="AC35" s="12">
        <v>765.49031947891967</v>
      </c>
      <c r="AD35" s="12">
        <v>762.5282269786303</v>
      </c>
      <c r="AE35" s="12">
        <v>759.79597732614809</v>
      </c>
      <c r="AF35" s="12">
        <v>757.26111425200543</v>
      </c>
      <c r="AG35" s="12">
        <v>754.8975642973237</v>
      </c>
      <c r="AH35" s="12">
        <v>752.68407038372118</v>
      </c>
      <c r="AI35" s="12">
        <v>750.60307748036337</v>
      </c>
      <c r="AJ35" s="12">
        <v>748.63992245939187</v>
      </c>
      <c r="AK35" s="12">
        <v>746.78223373882736</v>
      </c>
      <c r="AL35" s="12">
        <v>745.01947879160923</v>
      </c>
      <c r="AM35" s="12">
        <v>743.3426179104722</v>
      </c>
      <c r="AN35" s="12">
        <v>741.7438356590452</v>
      </c>
      <c r="AO35" s="12">
        <v>740.21633001148052</v>
      </c>
      <c r="AP35" s="12">
        <v>738.75414493760877</v>
      </c>
    </row>
    <row r="36" spans="1:42" s="9" customFormat="1">
      <c r="A36" s="11" t="s">
        <v>35</v>
      </c>
      <c r="B36" s="6" t="s">
        <v>64</v>
      </c>
      <c r="C36" s="9">
        <v>1261.6755961543745</v>
      </c>
      <c r="D36" s="9">
        <v>1165.5295130179773</v>
      </c>
      <c r="E36" s="9">
        <v>1211.4201540254903</v>
      </c>
      <c r="F36" s="9">
        <v>1181.5639263853698</v>
      </c>
      <c r="G36" s="9">
        <v>1113.9370096051177</v>
      </c>
      <c r="H36" s="9">
        <v>1161.8304045825064</v>
      </c>
      <c r="I36" s="9">
        <v>1141.614394812281</v>
      </c>
      <c r="J36" s="9">
        <v>1103.5933990028138</v>
      </c>
      <c r="K36" s="9">
        <v>1092.1375259874328</v>
      </c>
      <c r="L36" s="9">
        <v>1065.2860816474874</v>
      </c>
      <c r="M36" s="9">
        <v>975.64894314791343</v>
      </c>
      <c r="N36" s="9">
        <v>935.57772125992517</v>
      </c>
      <c r="O36" s="9">
        <v>885.55445794209299</v>
      </c>
      <c r="P36" s="9">
        <v>868.24080491379334</v>
      </c>
      <c r="Q36" s="9">
        <v>887.58652984252592</v>
      </c>
      <c r="R36" s="9">
        <v>878.72914632360448</v>
      </c>
      <c r="S36" s="9">
        <v>851.18056334657422</v>
      </c>
      <c r="T36" s="9">
        <v>837.37965294828905</v>
      </c>
      <c r="U36" s="9">
        <v>813.76464748156661</v>
      </c>
      <c r="V36" s="9">
        <v>817.80205124556255</v>
      </c>
      <c r="W36" s="12">
        <v>805.85711967320412</v>
      </c>
      <c r="X36" s="12">
        <v>799.50093193515795</v>
      </c>
      <c r="Y36" s="12">
        <v>794.03548980487244</v>
      </c>
      <c r="Z36" s="12">
        <v>789.24564891456407</v>
      </c>
      <c r="AA36" s="12">
        <v>784.98547868172034</v>
      </c>
      <c r="AB36" s="12">
        <v>781.15149910003413</v>
      </c>
      <c r="AC36" s="12">
        <v>777.66770326032326</v>
      </c>
      <c r="AD36" s="12">
        <v>774.47664379195896</v>
      </c>
      <c r="AE36" s="12">
        <v>771.53385918416438</v>
      </c>
      <c r="AF36" s="12">
        <v>768.80424381173941</v>
      </c>
      <c r="AG36" s="12">
        <v>766.2596018437506</v>
      </c>
      <c r="AH36" s="12">
        <v>763.87695041379459</v>
      </c>
      <c r="AI36" s="12">
        <v>761.6373127639456</v>
      </c>
      <c r="AJ36" s="12">
        <v>759.52484099772357</v>
      </c>
      <c r="AK36" s="12">
        <v>757.52616611078088</v>
      </c>
      <c r="AL36" s="12">
        <v>755.62990818806747</v>
      </c>
      <c r="AM36" s="12">
        <v>753.82630167718753</v>
      </c>
      <c r="AN36" s="12">
        <v>752.10690478386755</v>
      </c>
      <c r="AO36" s="12">
        <v>750.46437132606718</v>
      </c>
      <c r="AP36" s="12">
        <v>748.89226961949646</v>
      </c>
    </row>
    <row r="37" spans="1:42" s="9" customFormat="1">
      <c r="A37" s="11" t="s">
        <v>35</v>
      </c>
      <c r="B37" s="6" t="s">
        <v>65</v>
      </c>
      <c r="C37" s="9">
        <v>1337.9101832521767</v>
      </c>
      <c r="D37" s="9">
        <v>1257.3755780285851</v>
      </c>
      <c r="E37" s="9">
        <v>1247.615719984201</v>
      </c>
      <c r="F37" s="9">
        <v>1203.0839366122402</v>
      </c>
      <c r="G37" s="9">
        <v>1143.6033151297818</v>
      </c>
      <c r="H37" s="9">
        <v>1216.4806548158867</v>
      </c>
      <c r="I37" s="9">
        <v>1217.4505726535847</v>
      </c>
      <c r="J37" s="9">
        <v>1188.4070367274501</v>
      </c>
      <c r="K37" s="9">
        <v>1146.4933793044086</v>
      </c>
      <c r="L37" s="9">
        <v>1104.1652200007229</v>
      </c>
      <c r="M37" s="9">
        <v>1014.4024579522513</v>
      </c>
      <c r="N37" s="9">
        <v>965.12090346214154</v>
      </c>
      <c r="O37" s="9">
        <v>901.84221514722856</v>
      </c>
      <c r="P37" s="9">
        <v>876.33105165854317</v>
      </c>
      <c r="Q37" s="9">
        <v>902.49162743150794</v>
      </c>
      <c r="R37" s="9">
        <v>906.88083112558274</v>
      </c>
      <c r="S37" s="9">
        <v>829.29651154837597</v>
      </c>
      <c r="T37" s="9">
        <v>825.80162957220671</v>
      </c>
      <c r="U37" s="9">
        <v>802.66341983858069</v>
      </c>
      <c r="V37" s="9">
        <v>802.60489226442644</v>
      </c>
      <c r="W37" s="12">
        <v>781.78164160966924</v>
      </c>
      <c r="X37" s="12">
        <v>772.86431488490518</v>
      </c>
      <c r="Y37" s="12">
        <v>765.22203360726019</v>
      </c>
      <c r="Z37" s="12">
        <v>758.54381403249556</v>
      </c>
      <c r="AA37" s="12">
        <v>752.61934388424515</v>
      </c>
      <c r="AB37" s="12">
        <v>747.29988035561848</v>
      </c>
      <c r="AC37" s="12">
        <v>742.47642699694541</v>
      </c>
      <c r="AD37" s="12">
        <v>738.06677752076678</v>
      </c>
      <c r="AE37" s="12">
        <v>734.00743190602088</v>
      </c>
      <c r="AF37" s="12">
        <v>730.24834204232695</v>
      </c>
      <c r="AG37" s="12">
        <v>726.74937748887123</v>
      </c>
      <c r="AH37" s="12">
        <v>723.47787793931855</v>
      </c>
      <c r="AI37" s="12">
        <v>720.406915163505</v>
      </c>
      <c r="AJ37" s="12">
        <v>717.51403148992927</v>
      </c>
      <c r="AK37" s="12">
        <v>714.78030641062355</v>
      </c>
      <c r="AL37" s="12">
        <v>712.18965410827582</v>
      </c>
      <c r="AM37" s="12">
        <v>709.72828668534169</v>
      </c>
      <c r="AN37" s="12">
        <v>707.38429837769388</v>
      </c>
      <c r="AO37" s="12">
        <v>705.14733949379547</v>
      </c>
      <c r="AP37" s="12">
        <v>703.00835784381331</v>
      </c>
    </row>
    <row r="38" spans="1:42" s="9" customFormat="1">
      <c r="A38" s="11" t="s">
        <v>35</v>
      </c>
      <c r="B38" s="6" t="s">
        <v>66</v>
      </c>
      <c r="C38" s="9">
        <v>1030.545007407683</v>
      </c>
      <c r="D38" s="9">
        <v>1025.9282693796604</v>
      </c>
      <c r="E38" s="9">
        <v>980.89183038402314</v>
      </c>
      <c r="F38" s="9">
        <v>949.90894886018646</v>
      </c>
      <c r="G38" s="9">
        <v>898.67826007234135</v>
      </c>
      <c r="H38" s="9">
        <v>923.16076111556777</v>
      </c>
      <c r="I38" s="9">
        <v>927.81295810042911</v>
      </c>
      <c r="J38" s="9">
        <v>903.6076171916875</v>
      </c>
      <c r="K38" s="9">
        <v>919.01536372682131</v>
      </c>
      <c r="L38" s="9">
        <v>891.89514957776566</v>
      </c>
      <c r="M38" s="9">
        <v>829.24491857584917</v>
      </c>
      <c r="N38" s="9">
        <v>793.71394543218116</v>
      </c>
      <c r="O38" s="9">
        <v>758.1133766320205</v>
      </c>
      <c r="P38" s="9">
        <v>768.20912370274391</v>
      </c>
      <c r="Q38" s="9">
        <v>766.01808378414989</v>
      </c>
      <c r="R38" s="9">
        <v>742.23008046318614</v>
      </c>
      <c r="S38" s="9">
        <v>697.67730392906992</v>
      </c>
      <c r="T38" s="9">
        <v>677.09683696512809</v>
      </c>
      <c r="U38" s="9">
        <v>689.24676609373194</v>
      </c>
      <c r="V38" s="9">
        <v>667.68379184852211</v>
      </c>
      <c r="W38" s="12">
        <v>659.88195143140024</v>
      </c>
      <c r="X38" s="12">
        <v>653.74738649367657</v>
      </c>
      <c r="Y38" s="12">
        <v>648.47950120757412</v>
      </c>
      <c r="Z38" s="12">
        <v>643.86814259801326</v>
      </c>
      <c r="AA38" s="12">
        <v>639.77093486285855</v>
      </c>
      <c r="AB38" s="12">
        <v>636.08702452999501</v>
      </c>
      <c r="AC38" s="12">
        <v>632.74240347034686</v>
      </c>
      <c r="AD38" s="12">
        <v>629.68118262636744</v>
      </c>
      <c r="AE38" s="12">
        <v>626.86014020413643</v>
      </c>
      <c r="AF38" s="12">
        <v>624.2451738902671</v>
      </c>
      <c r="AG38" s="12">
        <v>621.8089118898838</v>
      </c>
      <c r="AH38" s="12">
        <v>619.52905684499945</v>
      </c>
      <c r="AI38" s="12">
        <v>617.38720869956649</v>
      </c>
      <c r="AJ38" s="12">
        <v>615.36800955850401</v>
      </c>
      <c r="AK38" s="12">
        <v>613.45851044643848</v>
      </c>
      <c r="AL38" s="12">
        <v>611.64769435874848</v>
      </c>
      <c r="AM38" s="12">
        <v>609.92611154822794</v>
      </c>
      <c r="AN38" s="12">
        <v>608.28559681789409</v>
      </c>
      <c r="AO38" s="12">
        <v>606.71904767356261</v>
      </c>
      <c r="AP38" s="12">
        <v>605.2202482839416</v>
      </c>
    </row>
    <row r="39" spans="1:42" s="9" customFormat="1">
      <c r="A39" s="11" t="s">
        <v>35</v>
      </c>
      <c r="B39" s="6" t="s">
        <v>67</v>
      </c>
      <c r="C39" s="9">
        <v>991.62669589759764</v>
      </c>
      <c r="D39" s="9">
        <v>976.30919168618925</v>
      </c>
      <c r="E39" s="9">
        <v>928.38450959816601</v>
      </c>
      <c r="F39" s="9">
        <v>862.39650873815549</v>
      </c>
      <c r="G39" s="9">
        <v>828.19871023048483</v>
      </c>
      <c r="H39" s="9">
        <v>680.48143556593129</v>
      </c>
      <c r="I39" s="9">
        <v>575.50976934745427</v>
      </c>
      <c r="J39" s="9">
        <v>578.8976963397356</v>
      </c>
      <c r="K39" s="9">
        <v>644.80838606387545</v>
      </c>
      <c r="L39" s="9">
        <v>650.88603547106959</v>
      </c>
      <c r="M39" s="9">
        <v>667.23325928423696</v>
      </c>
      <c r="N39" s="9">
        <v>612.40495089961894</v>
      </c>
      <c r="O39" s="9">
        <v>605.89633873348168</v>
      </c>
      <c r="P39" s="9">
        <v>565.7708013522905</v>
      </c>
      <c r="Q39" s="9">
        <v>611.81162968538979</v>
      </c>
      <c r="R39" s="9">
        <v>637.26431334075562</v>
      </c>
      <c r="S39" s="9">
        <v>609.59936983959551</v>
      </c>
      <c r="T39" s="9">
        <v>641.11912764498209</v>
      </c>
      <c r="U39" s="9">
        <v>673.18983015569927</v>
      </c>
      <c r="V39" s="9">
        <v>689.59801740300463</v>
      </c>
      <c r="W39" s="12">
        <v>678.40834507044417</v>
      </c>
      <c r="X39" s="12">
        <v>683.74791968375678</v>
      </c>
      <c r="Y39" s="12">
        <v>688.40722785334356</v>
      </c>
      <c r="Z39" s="12">
        <v>692.54337610271216</v>
      </c>
      <c r="AA39" s="12">
        <v>696.26434017442887</v>
      </c>
      <c r="AB39" s="12">
        <v>699.6475813856041</v>
      </c>
      <c r="AC39" s="12">
        <v>702.75059140311555</v>
      </c>
      <c r="AD39" s="12">
        <v>705.61723548277109</v>
      </c>
      <c r="AE39" s="12">
        <v>708.28175746941292</v>
      </c>
      <c r="AF39" s="12">
        <v>710.77141121289787</v>
      </c>
      <c r="AG39" s="12">
        <v>713.10824817445643</v>
      </c>
      <c r="AH39" s="12">
        <v>715.31036678450823</v>
      </c>
      <c r="AI39" s="12">
        <v>717.39280724495688</v>
      </c>
      <c r="AJ39" s="12">
        <v>719.36820619591833</v>
      </c>
      <c r="AK39" s="12">
        <v>721.24728474510766</v>
      </c>
      <c r="AL39" s="12">
        <v>723.03921836176073</v>
      </c>
      <c r="AM39" s="12">
        <v>724.75192141311027</v>
      </c>
      <c r="AN39" s="12">
        <v>726.3922689697049</v>
      </c>
      <c r="AO39" s="12">
        <v>727.96627179777374</v>
      </c>
      <c r="AP39" s="12">
        <v>729.47921593094259</v>
      </c>
    </row>
    <row r="40" spans="1:42" s="78" customFormat="1">
      <c r="A40" s="76" t="s">
        <v>35</v>
      </c>
      <c r="B40" s="77" t="s">
        <v>68</v>
      </c>
      <c r="C40" s="78">
        <v>1029.1818021027552</v>
      </c>
      <c r="D40" s="78">
        <v>1042.5120479698494</v>
      </c>
      <c r="E40" s="78">
        <v>1014.6809015318223</v>
      </c>
      <c r="F40" s="78">
        <v>946.86492691676506</v>
      </c>
      <c r="G40" s="78">
        <v>912.89411284800838</v>
      </c>
      <c r="H40" s="78">
        <v>847.61004165990835</v>
      </c>
      <c r="I40" s="78">
        <v>763.9345845771096</v>
      </c>
      <c r="J40" s="78">
        <v>742.78870240636445</v>
      </c>
      <c r="K40" s="78">
        <v>814.91383531919826</v>
      </c>
      <c r="L40" s="78">
        <v>798.07497007597965</v>
      </c>
      <c r="M40" s="78">
        <v>806.78209792240443</v>
      </c>
      <c r="N40" s="78">
        <v>755.35171022304564</v>
      </c>
      <c r="O40" s="78">
        <v>743.00477898313432</v>
      </c>
      <c r="P40" s="78">
        <v>754.03432208810602</v>
      </c>
      <c r="Q40" s="78">
        <v>769.63461294549222</v>
      </c>
      <c r="R40" s="78">
        <v>783.48674902019059</v>
      </c>
      <c r="S40" s="78">
        <v>796.14439769332489</v>
      </c>
      <c r="T40" s="78">
        <v>782.47217238314261</v>
      </c>
      <c r="U40" s="78">
        <v>803.92935418855473</v>
      </c>
      <c r="V40" s="78">
        <v>803.91224129621173</v>
      </c>
      <c r="W40" s="79">
        <v>804.28514883704077</v>
      </c>
      <c r="X40" s="79">
        <v>805.3128290416164</v>
      </c>
      <c r="Y40" s="79">
        <v>806.20410747168341</v>
      </c>
      <c r="Z40" s="79">
        <v>806.99108950421441</v>
      </c>
      <c r="AA40" s="79">
        <v>807.69571985437983</v>
      </c>
      <c r="AB40" s="79">
        <v>808.33366554469501</v>
      </c>
      <c r="AC40" s="79">
        <v>808.91650429214508</v>
      </c>
      <c r="AD40" s="79">
        <v>809.45303506882203</v>
      </c>
      <c r="AE40" s="79">
        <v>809.95010223911424</v>
      </c>
      <c r="AF40" s="79">
        <v>810.41313506242693</v>
      </c>
      <c r="AG40" s="79">
        <v>810.84651296240486</v>
      </c>
      <c r="AH40" s="79">
        <v>811.25382001941603</v>
      </c>
      <c r="AI40" s="79">
        <v>811.63802671298959</v>
      </c>
      <c r="AJ40" s="79">
        <v>812.00162253063388</v>
      </c>
      <c r="AK40" s="79">
        <v>812.34671457139166</v>
      </c>
      <c r="AL40" s="79">
        <v>812.67510210166233</v>
      </c>
      <c r="AM40" s="79">
        <v>812.98833377632695</v>
      </c>
      <c r="AN40" s="79">
        <v>813.28775214848258</v>
      </c>
      <c r="AO40" s="79">
        <v>813.57452871332805</v>
      </c>
      <c r="AP40" s="79">
        <v>813.84969180416397</v>
      </c>
    </row>
    <row r="41" spans="1:42" s="9" customFormat="1">
      <c r="A41" s="11" t="s">
        <v>35</v>
      </c>
      <c r="B41" s="6" t="s">
        <v>69</v>
      </c>
      <c r="C41" s="9">
        <v>986.55425026015882</v>
      </c>
      <c r="D41" s="9">
        <v>964.2254297997606</v>
      </c>
      <c r="E41" s="9">
        <v>928.61245994896206</v>
      </c>
      <c r="F41" s="9">
        <v>862.57629382262007</v>
      </c>
      <c r="G41" s="9">
        <v>807.47949238409683</v>
      </c>
      <c r="H41" s="9">
        <v>717.40597567652628</v>
      </c>
      <c r="I41" s="9">
        <v>619.46602482644607</v>
      </c>
      <c r="J41" s="9">
        <v>610.34571358235303</v>
      </c>
      <c r="K41" s="9">
        <v>694.38680964330501</v>
      </c>
      <c r="L41" s="9">
        <v>662.95170292918237</v>
      </c>
      <c r="M41" s="9">
        <v>675.99180051214989</v>
      </c>
      <c r="N41" s="9">
        <v>627.82206863816748</v>
      </c>
      <c r="O41" s="9">
        <v>633.06465000231776</v>
      </c>
      <c r="P41" s="9">
        <v>597.70595265019915</v>
      </c>
      <c r="Q41" s="9">
        <v>648.42049307882246</v>
      </c>
      <c r="R41" s="9">
        <v>636.9991643523432</v>
      </c>
      <c r="S41" s="9">
        <v>629.89572882286291</v>
      </c>
      <c r="T41" s="9">
        <v>660.84185713186378</v>
      </c>
      <c r="U41" s="9">
        <v>651.57623022524058</v>
      </c>
      <c r="V41" s="9">
        <v>670.50470164427247</v>
      </c>
      <c r="W41" s="12">
        <v>667.46042098447424</v>
      </c>
      <c r="X41" s="12">
        <v>670.71968529492517</v>
      </c>
      <c r="Y41" s="12">
        <v>673.55585004561783</v>
      </c>
      <c r="Z41" s="12">
        <v>676.06747763161206</v>
      </c>
      <c r="AA41" s="12">
        <v>678.3221400632932</v>
      </c>
      <c r="AB41" s="12">
        <v>680.36820718499746</v>
      </c>
      <c r="AC41" s="12">
        <v>682.24150866160437</v>
      </c>
      <c r="AD41" s="12">
        <v>683.96933342326872</v>
      </c>
      <c r="AE41" s="12">
        <v>685.5729502428286</v>
      </c>
      <c r="AF41" s="12">
        <v>687.06926109246422</v>
      </c>
      <c r="AG41" s="12">
        <v>688.47192261256316</v>
      </c>
      <c r="AH41" s="12">
        <v>689.79212880236923</v>
      </c>
      <c r="AI41" s="12">
        <v>691.03917085619298</v>
      </c>
      <c r="AJ41" s="12">
        <v>692.22084625609909</v>
      </c>
      <c r="AK41" s="12">
        <v>693.34376338415711</v>
      </c>
      <c r="AL41" s="12">
        <v>694.41357214784296</v>
      </c>
      <c r="AM41" s="12">
        <v>695.43514120379723</v>
      </c>
      <c r="AN41" s="12">
        <v>696.41269597490407</v>
      </c>
      <c r="AO41" s="12">
        <v>697.34992743740372</v>
      </c>
      <c r="AP41" s="12">
        <v>698.25007881146962</v>
      </c>
    </row>
    <row r="42" spans="1:42" s="9" customFormat="1">
      <c r="A42" s="11" t="s">
        <v>35</v>
      </c>
      <c r="B42" s="6" t="s">
        <v>70</v>
      </c>
      <c r="C42" s="9">
        <v>1102.0004882841722</v>
      </c>
      <c r="D42" s="9">
        <v>1066.4241722191196</v>
      </c>
      <c r="E42" s="9">
        <v>1071.5192276951893</v>
      </c>
      <c r="F42" s="9">
        <v>1038.5020458621093</v>
      </c>
      <c r="G42" s="9">
        <v>993.94863330151713</v>
      </c>
      <c r="H42" s="9">
        <v>1017.7155961875051</v>
      </c>
      <c r="I42" s="9">
        <v>1014.7995122976602</v>
      </c>
      <c r="J42" s="9">
        <v>1025.0166157970984</v>
      </c>
      <c r="K42" s="9">
        <v>1022.9203692724512</v>
      </c>
      <c r="L42" s="9">
        <v>1004.0741410886203</v>
      </c>
      <c r="M42" s="9">
        <v>921.63283136069742</v>
      </c>
      <c r="N42" s="9">
        <v>887.2178413919878</v>
      </c>
      <c r="O42" s="9">
        <v>852.12724479301608</v>
      </c>
      <c r="P42" s="9">
        <v>857.18167375239557</v>
      </c>
      <c r="Q42" s="9">
        <v>867.04823154237067</v>
      </c>
      <c r="R42" s="9">
        <v>838.64905022375842</v>
      </c>
      <c r="S42" s="9">
        <v>788.63730400697193</v>
      </c>
      <c r="T42" s="9">
        <v>763.29556737511916</v>
      </c>
      <c r="U42" s="9">
        <v>759.62487145023442</v>
      </c>
      <c r="V42" s="9">
        <v>756.7920187323225</v>
      </c>
      <c r="W42" s="12">
        <v>740.72863660843404</v>
      </c>
      <c r="X42" s="12">
        <v>733.23719504855637</v>
      </c>
      <c r="Y42" s="12">
        <v>726.80908255070165</v>
      </c>
      <c r="Z42" s="12">
        <v>721.18587795166195</v>
      </c>
      <c r="AA42" s="12">
        <v>716.19262507434803</v>
      </c>
      <c r="AB42" s="12">
        <v>711.70546722257257</v>
      </c>
      <c r="AC42" s="12">
        <v>707.63356565037861</v>
      </c>
      <c r="AD42" s="12">
        <v>703.90835514669675</v>
      </c>
      <c r="AE42" s="12">
        <v>700.4768347763702</v>
      </c>
      <c r="AF42" s="12">
        <v>697.29720382038784</v>
      </c>
      <c r="AG42" s="12">
        <v>694.33592440454242</v>
      </c>
      <c r="AH42" s="12">
        <v>691.56568604607151</v>
      </c>
      <c r="AI42" s="12">
        <v>688.96395939044544</v>
      </c>
      <c r="AJ42" s="12">
        <v>686.51194591767955</v>
      </c>
      <c r="AK42" s="12">
        <v>684.193800437302</v>
      </c>
      <c r="AL42" s="12">
        <v>681.99604565854531</v>
      </c>
      <c r="AM42" s="12">
        <v>679.90712465165029</v>
      </c>
      <c r="AN42" s="12">
        <v>677.91705403262745</v>
      </c>
      <c r="AO42" s="12">
        <v>676.0171518787572</v>
      </c>
      <c r="AP42" s="12">
        <v>674.19982187771154</v>
      </c>
    </row>
    <row r="43" spans="1:42" s="9" customFormat="1">
      <c r="A43" s="11" t="s">
        <v>35</v>
      </c>
      <c r="B43" s="6" t="s">
        <v>71</v>
      </c>
      <c r="C43" s="9">
        <v>1312.3180771616903</v>
      </c>
      <c r="D43" s="9">
        <v>1261.7513516155957</v>
      </c>
      <c r="E43" s="9">
        <v>1251.4334444050439</v>
      </c>
      <c r="F43" s="9">
        <v>1208.0092179587659</v>
      </c>
      <c r="G43" s="9">
        <v>1144.478891667758</v>
      </c>
      <c r="H43" s="9">
        <v>1200.4287435380802</v>
      </c>
      <c r="I43" s="9">
        <v>1196.2633061548256</v>
      </c>
      <c r="J43" s="9">
        <v>1170.4589950375503</v>
      </c>
      <c r="K43" s="9">
        <v>1130.6136906044374</v>
      </c>
      <c r="L43" s="9">
        <v>1111.5471766338221</v>
      </c>
      <c r="M43" s="9">
        <v>1036.8458622082887</v>
      </c>
      <c r="N43" s="9">
        <v>997.43690797996499</v>
      </c>
      <c r="O43" s="9">
        <v>923.50013075843549</v>
      </c>
      <c r="P43" s="9">
        <v>893.06988969122779</v>
      </c>
      <c r="Q43" s="9">
        <v>915.39815762896683</v>
      </c>
      <c r="R43" s="9">
        <v>912.31106479823904</v>
      </c>
      <c r="S43" s="9">
        <v>846.17107215399074</v>
      </c>
      <c r="T43" s="9">
        <v>833.27402097489914</v>
      </c>
      <c r="U43" s="9">
        <v>816.46436920415488</v>
      </c>
      <c r="V43" s="9">
        <v>829.59820485579007</v>
      </c>
      <c r="W43" s="12">
        <v>804.12700731614461</v>
      </c>
      <c r="X43" s="12">
        <v>796.41177394806869</v>
      </c>
      <c r="Y43" s="12">
        <v>789.7883945818345</v>
      </c>
      <c r="Z43" s="12">
        <v>783.99189689841</v>
      </c>
      <c r="AA43" s="12">
        <v>778.84281086307192</v>
      </c>
      <c r="AB43" s="12">
        <v>774.21403512331949</v>
      </c>
      <c r="AC43" s="12">
        <v>770.01231892852832</v>
      </c>
      <c r="AD43" s="12">
        <v>766.16725437598211</v>
      </c>
      <c r="AE43" s="12">
        <v>762.62440049925544</v>
      </c>
      <c r="AF43" s="12">
        <v>759.3408094974825</v>
      </c>
      <c r="AG43" s="12">
        <v>756.28201470878264</v>
      </c>
      <c r="AH43" s="12">
        <v>753.41994290481296</v>
      </c>
      <c r="AI43" s="12">
        <v>750.73143055694027</v>
      </c>
      <c r="AJ43" s="12">
        <v>748.19714609756124</v>
      </c>
      <c r="AK43" s="12">
        <v>745.80079193597612</v>
      </c>
      <c r="AL43" s="12">
        <v>743.52850349343066</v>
      </c>
      <c r="AM43" s="12">
        <v>741.36838970506165</v>
      </c>
      <c r="AN43" s="12">
        <v>739.31017687560416</v>
      </c>
      <c r="AO43" s="12">
        <v>737.34492923029256</v>
      </c>
      <c r="AP43" s="12">
        <v>735.46482718686536</v>
      </c>
    </row>
    <row r="44" spans="1:42" s="9" customFormat="1">
      <c r="A44" s="11" t="s">
        <v>35</v>
      </c>
      <c r="B44" s="6" t="s">
        <v>72</v>
      </c>
      <c r="C44" s="9">
        <v>1372.7569839739203</v>
      </c>
      <c r="D44" s="9">
        <v>1293.38123074892</v>
      </c>
      <c r="E44" s="9">
        <v>1308.9763770210157</v>
      </c>
      <c r="F44" s="9">
        <v>1183.9404537226144</v>
      </c>
      <c r="G44" s="9">
        <v>1093.3333347175765</v>
      </c>
      <c r="H44" s="9">
        <v>1137.931392478006</v>
      </c>
      <c r="I44" s="9">
        <v>1133.5841644772254</v>
      </c>
      <c r="J44" s="9">
        <v>1182.3573320434389</v>
      </c>
      <c r="K44" s="9">
        <v>1128.8568654741996</v>
      </c>
      <c r="L44" s="9">
        <v>1080.1311449926354</v>
      </c>
      <c r="M44" s="9">
        <v>1015.0824412357998</v>
      </c>
      <c r="N44" s="9">
        <v>961.45328109755269</v>
      </c>
      <c r="O44" s="9">
        <v>889.47575726641401</v>
      </c>
      <c r="P44" s="9">
        <v>864.07347470637296</v>
      </c>
      <c r="Q44" s="9">
        <v>855.88911620017495</v>
      </c>
      <c r="R44" s="9">
        <v>880.46034903263103</v>
      </c>
      <c r="S44" s="9">
        <v>763.71598840321428</v>
      </c>
      <c r="T44" s="9">
        <v>794.76406799765539</v>
      </c>
      <c r="U44" s="9">
        <v>747.84053843203458</v>
      </c>
      <c r="V44" s="9">
        <v>767.06880041080899</v>
      </c>
      <c r="W44" s="12">
        <v>735.60546271695796</v>
      </c>
      <c r="X44" s="12">
        <v>726.12492253954611</v>
      </c>
      <c r="Y44" s="12">
        <v>718.01132556211076</v>
      </c>
      <c r="Z44" s="12">
        <v>710.92991114140489</v>
      </c>
      <c r="AA44" s="12">
        <v>704.65457073199593</v>
      </c>
      <c r="AB44" s="12">
        <v>699.02556658050719</v>
      </c>
      <c r="AC44" s="12">
        <v>693.92596133670099</v>
      </c>
      <c r="AD44" s="12">
        <v>689.26763881328714</v>
      </c>
      <c r="AE44" s="12">
        <v>684.98258980122739</v>
      </c>
      <c r="AF44" s="12">
        <v>681.01725278872652</v>
      </c>
      <c r="AG44" s="12">
        <v>677.32871028588215</v>
      </c>
      <c r="AH44" s="12">
        <v>673.88205657659125</v>
      </c>
      <c r="AI44" s="12">
        <v>670.64852972908989</v>
      </c>
      <c r="AJ44" s="12">
        <v>667.604156611706</v>
      </c>
      <c r="AK44" s="12">
        <v>664.72875092506865</v>
      </c>
      <c r="AL44" s="12">
        <v>662.00515953505248</v>
      </c>
      <c r="AM44" s="12">
        <v>659.41868688236423</v>
      </c>
      <c r="AN44" s="12">
        <v>656.95664934578951</v>
      </c>
      <c r="AO44" s="12">
        <v>654.60802593624305</v>
      </c>
      <c r="AP44" s="12">
        <v>652.36318141586366</v>
      </c>
    </row>
    <row r="45" spans="1:42" s="9" customFormat="1">
      <c r="A45" s="11" t="s">
        <v>35</v>
      </c>
      <c r="B45" s="6" t="s">
        <v>73</v>
      </c>
      <c r="C45" s="9" t="e">
        <v>#DIV/0!</v>
      </c>
      <c r="D45" s="9" t="e">
        <v>#DIV/0!</v>
      </c>
      <c r="E45" s="9">
        <v>600.24252241937563</v>
      </c>
      <c r="F45" s="9">
        <v>942.90085433061233</v>
      </c>
      <c r="G45" s="9">
        <v>899.74591843187795</v>
      </c>
      <c r="H45" s="9">
        <v>894.61915934374542</v>
      </c>
      <c r="I45" s="9">
        <v>807.24776432250724</v>
      </c>
      <c r="J45" s="9">
        <v>763.77663773064035</v>
      </c>
      <c r="K45" s="9">
        <v>808.3754153293778</v>
      </c>
      <c r="L45" s="9">
        <v>796.66718485999922</v>
      </c>
      <c r="M45" s="9">
        <v>793.02816132625799</v>
      </c>
      <c r="N45" s="9">
        <v>772.84432193564305</v>
      </c>
      <c r="O45" s="9">
        <v>733.42868543876796</v>
      </c>
      <c r="P45" s="9">
        <v>763.42899746124817</v>
      </c>
      <c r="Q45" s="9">
        <v>774.43469033124188</v>
      </c>
      <c r="R45" s="9">
        <v>791.47726818375304</v>
      </c>
      <c r="S45" s="9">
        <v>788.99343420124796</v>
      </c>
      <c r="T45" s="9">
        <v>776.24551575247688</v>
      </c>
      <c r="U45" s="9">
        <v>795.30170241374412</v>
      </c>
      <c r="V45" s="9">
        <v>797.49961348999545</v>
      </c>
      <c r="W45" s="12">
        <v>790.56037585915999</v>
      </c>
      <c r="X45" s="12">
        <v>790.51589280411667</v>
      </c>
      <c r="Y45" s="12">
        <v>790.47736185230337</v>
      </c>
      <c r="Z45" s="12">
        <v>790.44337670302525</v>
      </c>
      <c r="AA45" s="12">
        <v>790.41297718916212</v>
      </c>
      <c r="AB45" s="12">
        <v>790.38547849101349</v>
      </c>
      <c r="AC45" s="12">
        <v>790.36037498184487</v>
      </c>
      <c r="AD45" s="12">
        <v>790.33728269607968</v>
      </c>
      <c r="AE45" s="12">
        <v>790.31590318040139</v>
      </c>
      <c r="AF45" s="12">
        <v>790.2959998473259</v>
      </c>
      <c r="AG45" s="12">
        <v>790.27738197638769</v>
      </c>
      <c r="AH45" s="12">
        <v>790.25989357440778</v>
      </c>
      <c r="AI45" s="12">
        <v>790.24340542488392</v>
      </c>
      <c r="AJ45" s="12">
        <v>790.22780929000351</v>
      </c>
      <c r="AK45" s="12">
        <v>790.21301360167877</v>
      </c>
      <c r="AL45" s="12">
        <v>790.19894020505433</v>
      </c>
      <c r="AM45" s="12">
        <v>790.18552186032161</v>
      </c>
      <c r="AN45" s="12">
        <v>790.17270030034251</v>
      </c>
      <c r="AO45" s="12">
        <v>790.16042470199477</v>
      </c>
      <c r="AP45" s="12">
        <v>790.14865046979662</v>
      </c>
    </row>
    <row r="46" spans="1:42" s="9" customFormat="1">
      <c r="A46" s="11" t="s">
        <v>35</v>
      </c>
      <c r="B46" s="6" t="s">
        <v>74</v>
      </c>
      <c r="C46" s="9">
        <v>1069.1573368387294</v>
      </c>
      <c r="D46" s="9">
        <v>1036.2398532272016</v>
      </c>
      <c r="E46" s="9">
        <v>972.94297242982532</v>
      </c>
      <c r="F46" s="9">
        <v>940.60670219625683</v>
      </c>
      <c r="G46" s="9">
        <v>901.43943337807502</v>
      </c>
      <c r="H46" s="9">
        <v>942.93148117924204</v>
      </c>
      <c r="I46" s="9">
        <v>920.94655556754788</v>
      </c>
      <c r="J46" s="9">
        <v>970.99217833602256</v>
      </c>
      <c r="K46" s="9">
        <v>944.9302440981553</v>
      </c>
      <c r="L46" s="9">
        <v>947.92055752394708</v>
      </c>
      <c r="M46" s="9">
        <v>873.66318715336126</v>
      </c>
      <c r="N46" s="9">
        <v>843.5505646211983</v>
      </c>
      <c r="O46" s="9">
        <v>798.40236213053538</v>
      </c>
      <c r="P46" s="9">
        <v>830.84388885994611</v>
      </c>
      <c r="Q46" s="9">
        <v>840.69824184033416</v>
      </c>
      <c r="R46" s="9">
        <v>831.83868500923973</v>
      </c>
      <c r="S46" s="9">
        <v>782.79383707145666</v>
      </c>
      <c r="T46" s="9">
        <v>760.5177612589149</v>
      </c>
      <c r="U46" s="9">
        <v>748.40218948024392</v>
      </c>
      <c r="V46" s="9">
        <v>744.69197549307626</v>
      </c>
      <c r="W46" s="12">
        <v>729.48803151356401</v>
      </c>
      <c r="X46" s="12">
        <v>721.60097322195281</v>
      </c>
      <c r="Y46" s="12">
        <v>714.83785255583177</v>
      </c>
      <c r="Z46" s="12">
        <v>708.92499069614973</v>
      </c>
      <c r="AA46" s="12">
        <v>703.67721093865725</v>
      </c>
      <c r="AB46" s="12">
        <v>698.96348941079088</v>
      </c>
      <c r="AC46" s="12">
        <v>694.68777564581046</v>
      </c>
      <c r="AD46" s="12">
        <v>690.77760125431405</v>
      </c>
      <c r="AE46" s="12">
        <v>687.17696978704953</v>
      </c>
      <c r="AF46" s="12">
        <v>683.84173374680609</v>
      </c>
      <c r="AG46" s="12">
        <v>680.73648406417362</v>
      </c>
      <c r="AH46" s="12">
        <v>677.83239537988607</v>
      </c>
      <c r="AI46" s="12">
        <v>675.10569551719664</v>
      </c>
      <c r="AJ46" s="12">
        <v>672.53655431829134</v>
      </c>
      <c r="AK46" s="12">
        <v>670.10826130398868</v>
      </c>
      <c r="AL46" s="12">
        <v>667.80660664455945</v>
      </c>
      <c r="AM46" s="12">
        <v>665.6194080510943</v>
      </c>
      <c r="AN46" s="12">
        <v>663.53614423002603</v>
      </c>
      <c r="AO46" s="12">
        <v>661.54766738314993</v>
      </c>
      <c r="AP46" s="12">
        <v>659.64597517520895</v>
      </c>
    </row>
    <row r="47" spans="1:42" s="9" customFormat="1">
      <c r="A47" s="11" t="s">
        <v>35</v>
      </c>
      <c r="B47" s="6" t="s">
        <v>75</v>
      </c>
      <c r="C47" s="9">
        <v>1340.2607581429068</v>
      </c>
      <c r="D47" s="9">
        <v>1308.2016081516799</v>
      </c>
      <c r="E47" s="9">
        <v>1268.0128410195914</v>
      </c>
      <c r="F47" s="9">
        <v>1197.5918592411408</v>
      </c>
      <c r="G47" s="9">
        <v>1155.3723432802119</v>
      </c>
      <c r="H47" s="9">
        <v>1182.5411322738728</v>
      </c>
      <c r="I47" s="9">
        <v>1164.1017329105953</v>
      </c>
      <c r="J47" s="9">
        <v>1160.0049526792072</v>
      </c>
      <c r="K47" s="9">
        <v>1147.1236836681016</v>
      </c>
      <c r="L47" s="9">
        <v>1111.9995186656629</v>
      </c>
      <c r="M47" s="9">
        <v>1029.2094064268235</v>
      </c>
      <c r="N47" s="9">
        <v>988.61230344109549</v>
      </c>
      <c r="O47" s="9">
        <v>926.81163227807951</v>
      </c>
      <c r="P47" s="9">
        <v>959.15399066176178</v>
      </c>
      <c r="Q47" s="9">
        <v>938.60369370797332</v>
      </c>
      <c r="R47" s="9">
        <v>927.29615800238821</v>
      </c>
      <c r="S47" s="9">
        <v>883.28112597396932</v>
      </c>
      <c r="T47" s="9">
        <v>867.43496794399209</v>
      </c>
      <c r="U47" s="9">
        <v>860.45301460575615</v>
      </c>
      <c r="V47" s="9">
        <v>844.72925503375779</v>
      </c>
      <c r="W47" s="12">
        <v>838.83387880161717</v>
      </c>
      <c r="X47" s="12">
        <v>831.86268679748696</v>
      </c>
      <c r="Y47" s="12">
        <v>825.87081184369856</v>
      </c>
      <c r="Z47" s="12">
        <v>820.62143799492162</v>
      </c>
      <c r="AA47" s="12">
        <v>815.95399225773713</v>
      </c>
      <c r="AB47" s="12">
        <v>811.75464746208718</v>
      </c>
      <c r="AC47" s="12">
        <v>807.93982019590146</v>
      </c>
      <c r="AD47" s="12">
        <v>804.44635277236341</v>
      </c>
      <c r="AE47" s="12">
        <v>801.22537558809131</v>
      </c>
      <c r="AF47" s="12">
        <v>798.23831080933007</v>
      </c>
      <c r="AG47" s="12">
        <v>795.45418000915686</v>
      </c>
      <c r="AH47" s="12">
        <v>792.84773687987956</v>
      </c>
      <c r="AI47" s="12">
        <v>790.39813939050532</v>
      </c>
      <c r="AJ47" s="12">
        <v>788.08798476635661</v>
      </c>
      <c r="AK47" s="12">
        <v>785.90259460509174</v>
      </c>
      <c r="AL47" s="12">
        <v>783.82947623962002</v>
      </c>
      <c r="AM47" s="12">
        <v>781.8579107113211</v>
      </c>
      <c r="AN47" s="12">
        <v>779.97863328359426</v>
      </c>
      <c r="AO47" s="12">
        <v>778.18358265494385</v>
      </c>
      <c r="AP47" s="12">
        <v>776.46570189612316</v>
      </c>
    </row>
    <row r="48" spans="1:42" s="9" customFormat="1">
      <c r="A48" s="11" t="s">
        <v>35</v>
      </c>
      <c r="B48" s="6" t="s">
        <v>76</v>
      </c>
      <c r="C48" s="9">
        <v>1183.5964264091574</v>
      </c>
      <c r="D48" s="9">
        <v>1018.2465270307523</v>
      </c>
      <c r="E48" s="9">
        <v>1014.6037192468265</v>
      </c>
      <c r="F48" s="9">
        <v>941.35967722318526</v>
      </c>
      <c r="G48" s="9">
        <v>870.81225150704677</v>
      </c>
      <c r="H48" s="9">
        <v>921.49163572332247</v>
      </c>
      <c r="I48" s="9">
        <v>917.32651541743883</v>
      </c>
      <c r="J48" s="9">
        <v>879.02991212240738</v>
      </c>
      <c r="K48" s="9">
        <v>911.15963823152993</v>
      </c>
      <c r="L48" s="9">
        <v>876.55956525617478</v>
      </c>
      <c r="M48" s="9">
        <v>812.75720089106767</v>
      </c>
      <c r="N48" s="9">
        <v>771.82053976504471</v>
      </c>
      <c r="O48" s="9">
        <v>739.97026335201053</v>
      </c>
      <c r="P48" s="9">
        <v>751.11142939262413</v>
      </c>
      <c r="Q48" s="9">
        <v>746.43520866460369</v>
      </c>
      <c r="R48" s="9">
        <v>709.6325601880053</v>
      </c>
      <c r="S48" s="9">
        <v>695.03640167426101</v>
      </c>
      <c r="T48" s="9">
        <v>670.00946137078222</v>
      </c>
      <c r="U48" s="9">
        <v>655.37169555564299</v>
      </c>
      <c r="V48" s="9">
        <v>648.94290883012843</v>
      </c>
      <c r="W48" s="12">
        <v>641.75741479852161</v>
      </c>
      <c r="X48" s="12">
        <v>635.85600230946898</v>
      </c>
      <c r="Y48" s="12">
        <v>630.78784913817026</v>
      </c>
      <c r="Z48" s="12">
        <v>626.35096256348925</v>
      </c>
      <c r="AA48" s="12">
        <v>622.40848361682004</v>
      </c>
      <c r="AB48" s="12">
        <v>618.86345946054985</v>
      </c>
      <c r="AC48" s="12">
        <v>615.64473953929314</v>
      </c>
      <c r="AD48" s="12">
        <v>612.69858948926799</v>
      </c>
      <c r="AE48" s="12">
        <v>609.98345153395337</v>
      </c>
      <c r="AF48" s="12">
        <v>607.46653459932099</v>
      </c>
      <c r="AG48" s="12">
        <v>605.12151808816827</v>
      </c>
      <c r="AH48" s="12">
        <v>602.926960008523</v>
      </c>
      <c r="AI48" s="12">
        <v>600.86516542803975</v>
      </c>
      <c r="AJ48" s="12">
        <v>598.92136441730884</v>
      </c>
      <c r="AK48" s="12">
        <v>597.08310328385187</v>
      </c>
      <c r="AL48" s="12">
        <v>595.33978604055437</v>
      </c>
      <c r="AM48" s="12">
        <v>593.68232376339643</v>
      </c>
      <c r="AN48" s="12">
        <v>592.10286278236561</v>
      </c>
      <c r="AO48" s="12">
        <v>590.59457137927438</v>
      </c>
      <c r="AP48" s="12">
        <v>589.15147052352972</v>
      </c>
    </row>
    <row r="49" spans="1:42" s="9" customFormat="1">
      <c r="A49" s="11" t="s">
        <v>35</v>
      </c>
      <c r="B49" s="6" t="s">
        <v>77</v>
      </c>
      <c r="C49" s="9">
        <v>1195.3018265461512</v>
      </c>
      <c r="D49" s="9">
        <v>1172.966813051914</v>
      </c>
      <c r="E49" s="9">
        <v>1086.4926895257895</v>
      </c>
      <c r="F49" s="9">
        <v>1049.6631134390213</v>
      </c>
      <c r="G49" s="9">
        <v>991.39057739608484</v>
      </c>
      <c r="H49" s="9">
        <v>1035.8896019045571</v>
      </c>
      <c r="I49" s="9">
        <v>1034.194547274062</v>
      </c>
      <c r="J49" s="9">
        <v>1041.6233255229181</v>
      </c>
      <c r="K49" s="9">
        <v>1046.0356439513314</v>
      </c>
      <c r="L49" s="9">
        <v>1025.162889519308</v>
      </c>
      <c r="M49" s="9">
        <v>939.09313897176412</v>
      </c>
      <c r="N49" s="9">
        <v>899.02068844604639</v>
      </c>
      <c r="O49" s="9">
        <v>865.21036443723824</v>
      </c>
      <c r="P49" s="9">
        <v>867.18659648235678</v>
      </c>
      <c r="Q49" s="9">
        <v>881.53975075943572</v>
      </c>
      <c r="R49" s="9">
        <v>832.51908583284103</v>
      </c>
      <c r="S49" s="9">
        <v>782.43046150830185</v>
      </c>
      <c r="T49" s="9">
        <v>758.16935964999573</v>
      </c>
      <c r="U49" s="9">
        <v>749.88403266790931</v>
      </c>
      <c r="V49" s="9">
        <v>750.11741217200517</v>
      </c>
      <c r="W49" s="12">
        <v>732.1340249824367</v>
      </c>
      <c r="X49" s="12">
        <v>724.51890322618965</v>
      </c>
      <c r="Y49" s="12">
        <v>717.9864378451274</v>
      </c>
      <c r="Z49" s="12">
        <v>712.27330102843075</v>
      </c>
      <c r="AA49" s="12">
        <v>707.20125799319715</v>
      </c>
      <c r="AB49" s="12">
        <v>702.64415808075762</v>
      </c>
      <c r="AC49" s="12">
        <v>698.50949788853382</v>
      </c>
      <c r="AD49" s="12">
        <v>694.7274678756404</v>
      </c>
      <c r="AE49" s="12">
        <v>691.24411382931885</v>
      </c>
      <c r="AF49" s="12">
        <v>688.01688944091529</v>
      </c>
      <c r="AG49" s="12">
        <v>685.01166327027056</v>
      </c>
      <c r="AH49" s="12">
        <v>682.20064500602564</v>
      </c>
      <c r="AI49" s="12">
        <v>679.56091218778272</v>
      </c>
      <c r="AJ49" s="12">
        <v>677.07334042252478</v>
      </c>
      <c r="AK49" s="12">
        <v>674.72181154101929</v>
      </c>
      <c r="AL49" s="12">
        <v>672.49261743502825</v>
      </c>
      <c r="AM49" s="12">
        <v>670.37400435948246</v>
      </c>
      <c r="AN49" s="12">
        <v>668.35581982810402</v>
      </c>
      <c r="AO49" s="12">
        <v>666.42923562007115</v>
      </c>
      <c r="AP49" s="12">
        <v>664.58652805386851</v>
      </c>
    </row>
    <row r="50" spans="1:42" s="9" customFormat="1">
      <c r="A50" s="11" t="s">
        <v>35</v>
      </c>
      <c r="B50" s="6" t="s">
        <v>78</v>
      </c>
      <c r="C50" s="9">
        <v>1146.1097568952061</v>
      </c>
      <c r="D50" s="9">
        <v>1107.8181817202267</v>
      </c>
      <c r="E50" s="9">
        <v>1065.8555059090647</v>
      </c>
      <c r="F50" s="9">
        <v>1021.7495235349536</v>
      </c>
      <c r="G50" s="9">
        <v>972.38538404568408</v>
      </c>
      <c r="H50" s="9">
        <v>1019.8712381629607</v>
      </c>
      <c r="I50" s="9">
        <v>1028.6601064245899</v>
      </c>
      <c r="J50" s="9">
        <v>1014.5546429068412</v>
      </c>
      <c r="K50" s="9">
        <v>1002.4323839943943</v>
      </c>
      <c r="L50" s="9">
        <v>984.14451948331794</v>
      </c>
      <c r="M50" s="9">
        <v>895.91622003778878</v>
      </c>
      <c r="N50" s="9">
        <v>864.34835706389117</v>
      </c>
      <c r="O50" s="9">
        <v>814.91312295749344</v>
      </c>
      <c r="P50" s="9">
        <v>798.33017396665025</v>
      </c>
      <c r="Q50" s="9">
        <v>813.92978886283959</v>
      </c>
      <c r="R50" s="9">
        <v>793.09286212636459</v>
      </c>
      <c r="S50" s="9">
        <v>763.65230667212029</v>
      </c>
      <c r="T50" s="9">
        <v>754.49948096094465</v>
      </c>
      <c r="U50" s="9">
        <v>722.98587918854014</v>
      </c>
      <c r="V50" s="9">
        <v>728.13129237100179</v>
      </c>
      <c r="W50" s="12">
        <v>717.04608709122249</v>
      </c>
      <c r="X50" s="12">
        <v>710.92138067171391</v>
      </c>
      <c r="Y50" s="12">
        <v>705.65822100363516</v>
      </c>
      <c r="Z50" s="12">
        <v>701.04813719641993</v>
      </c>
      <c r="AA50" s="12">
        <v>696.94980312555072</v>
      </c>
      <c r="AB50" s="12">
        <v>693.26305258511059</v>
      </c>
      <c r="AC50" s="12">
        <v>689.91434475117944</v>
      </c>
      <c r="AD50" s="12">
        <v>686.84811811839154</v>
      </c>
      <c r="AE50" s="12">
        <v>684.0213862757347</v>
      </c>
      <c r="AF50" s="12">
        <v>681.40021959065484</v>
      </c>
      <c r="AG50" s="12">
        <v>678.9573751625112</v>
      </c>
      <c r="AH50" s="12">
        <v>676.67065325918509</v>
      </c>
      <c r="AI50" s="12">
        <v>674.52172868683613</v>
      </c>
      <c r="AJ50" s="12">
        <v>672.49530156008075</v>
      </c>
      <c r="AK50" s="12">
        <v>670.57846825214745</v>
      </c>
      <c r="AL50" s="12">
        <v>668.76024747083045</v>
      </c>
      <c r="AM50" s="12">
        <v>667.03121776273042</v>
      </c>
      <c r="AN50" s="12">
        <v>665.38323645475532</v>
      </c>
      <c r="AO50" s="12">
        <v>663.80921904800095</v>
      </c>
      <c r="AP50" s="12">
        <v>662.30296412313749</v>
      </c>
    </row>
    <row r="51" spans="1:42" s="9" customFormat="1">
      <c r="A51" s="11" t="s">
        <v>35</v>
      </c>
      <c r="B51" s="6" t="s">
        <v>79</v>
      </c>
      <c r="C51" s="9">
        <v>1168.4190184856964</v>
      </c>
      <c r="D51" s="9">
        <v>1154.7642425495546</v>
      </c>
      <c r="E51" s="9">
        <v>1110.4353989028898</v>
      </c>
      <c r="F51" s="9">
        <v>1061.2820185077039</v>
      </c>
      <c r="G51" s="9">
        <v>1008.211778885305</v>
      </c>
      <c r="H51" s="9">
        <v>1039.7976259961533</v>
      </c>
      <c r="I51" s="9">
        <v>1037.6123979466306</v>
      </c>
      <c r="J51" s="9">
        <v>1052.5104417738883</v>
      </c>
      <c r="K51" s="9">
        <v>1051.9742157164139</v>
      </c>
      <c r="L51" s="9">
        <v>1039.670364265143</v>
      </c>
      <c r="M51" s="9">
        <v>956.47312687821625</v>
      </c>
      <c r="N51" s="9">
        <v>915.59903372225608</v>
      </c>
      <c r="O51" s="9">
        <v>882.91594768938285</v>
      </c>
      <c r="P51" s="9">
        <v>886.35830197925202</v>
      </c>
      <c r="Q51" s="9">
        <v>897.60041503238585</v>
      </c>
      <c r="R51" s="9">
        <v>857.88606789468531</v>
      </c>
      <c r="S51" s="9">
        <v>806.85139276659322</v>
      </c>
      <c r="T51" s="9">
        <v>778.64188231860214</v>
      </c>
      <c r="U51" s="9">
        <v>776.89442400987923</v>
      </c>
      <c r="V51" s="9">
        <v>770.99252872082184</v>
      </c>
      <c r="W51" s="12">
        <v>754.75480310038904</v>
      </c>
      <c r="X51" s="12">
        <v>746.84719346239922</v>
      </c>
      <c r="Y51" s="12">
        <v>740.06430864592085</v>
      </c>
      <c r="Z51" s="12">
        <v>734.13253144071507</v>
      </c>
      <c r="AA51" s="12">
        <v>728.86667448311312</v>
      </c>
      <c r="AB51" s="12">
        <v>724.13567363899278</v>
      </c>
      <c r="AC51" s="12">
        <v>719.84342743280058</v>
      </c>
      <c r="AD51" s="12">
        <v>715.91741429345439</v>
      </c>
      <c r="AE51" s="12">
        <v>712.30158629283198</v>
      </c>
      <c r="AF51" s="12">
        <v>708.951747803442</v>
      </c>
      <c r="AG51" s="12">
        <v>705.8324455412677</v>
      </c>
      <c r="AH51" s="12">
        <v>702.91481389477167</v>
      </c>
      <c r="AI51" s="12">
        <v>700.17504420162356</v>
      </c>
      <c r="AJ51" s="12">
        <v>697.5932732877352</v>
      </c>
      <c r="AK51" s="12">
        <v>695.15276079890793</v>
      </c>
      <c r="AL51" s="12">
        <v>692.83926984806521</v>
      </c>
      <c r="AM51" s="12">
        <v>690.64059360390661</v>
      </c>
      <c r="AN51" s="12">
        <v>688.54618847015956</v>
      </c>
      <c r="AO51" s="12">
        <v>686.54688633929732</v>
      </c>
      <c r="AP51" s="12">
        <v>684.63466634177325</v>
      </c>
    </row>
    <row r="52" spans="1:42" s="9" customFormat="1">
      <c r="A52" s="11" t="s">
        <v>35</v>
      </c>
      <c r="B52" s="6" t="s">
        <v>80</v>
      </c>
      <c r="C52" s="9">
        <v>971.01049622357345</v>
      </c>
      <c r="D52" s="9">
        <v>949.59800073069914</v>
      </c>
      <c r="E52" s="9">
        <v>897.58939567235154</v>
      </c>
      <c r="F52" s="9">
        <v>871.40134531752494</v>
      </c>
      <c r="G52" s="9">
        <v>828.30898472454737</v>
      </c>
      <c r="H52" s="9">
        <v>862.56485719817692</v>
      </c>
      <c r="I52" s="9">
        <v>856.12166629002786</v>
      </c>
      <c r="J52" s="9">
        <v>883.96051519729997</v>
      </c>
      <c r="K52" s="9">
        <v>863.79852037555759</v>
      </c>
      <c r="L52" s="9">
        <v>865.938805766972</v>
      </c>
      <c r="M52" s="9">
        <v>789.33222104373067</v>
      </c>
      <c r="N52" s="9">
        <v>758.79977271626558</v>
      </c>
      <c r="O52" s="9">
        <v>728.66528717576011</v>
      </c>
      <c r="P52" s="9">
        <v>746.59613064375594</v>
      </c>
      <c r="Q52" s="9">
        <v>749.38302033615207</v>
      </c>
      <c r="R52" s="9">
        <v>711.8713048802208</v>
      </c>
      <c r="S52" s="9">
        <v>667.7279669227795</v>
      </c>
      <c r="T52" s="9">
        <v>656.02745128693869</v>
      </c>
      <c r="U52" s="9">
        <v>650.03896146606007</v>
      </c>
      <c r="V52" s="9">
        <v>652.45608422676662</v>
      </c>
      <c r="W52" s="12">
        <v>637.80225611334015</v>
      </c>
      <c r="X52" s="12">
        <v>632.18501747862615</v>
      </c>
      <c r="Y52" s="12">
        <v>627.35914827677925</v>
      </c>
      <c r="Z52" s="12">
        <v>623.13301724708811</v>
      </c>
      <c r="AA52" s="12">
        <v>619.376743227627</v>
      </c>
      <c r="AB52" s="12">
        <v>615.99828993448841</v>
      </c>
      <c r="AC52" s="12">
        <v>612.93009740279626</v>
      </c>
      <c r="AD52" s="12">
        <v>610.12113097241138</v>
      </c>
      <c r="AE52" s="12">
        <v>607.53191232190454</v>
      </c>
      <c r="AF52" s="12">
        <v>605.13128500367122</v>
      </c>
      <c r="AG52" s="12">
        <v>602.89423590795411</v>
      </c>
      <c r="AH52" s="12">
        <v>600.8003846990764</v>
      </c>
      <c r="AI52" s="12">
        <v>598.83290987964801</v>
      </c>
      <c r="AJ52" s="12">
        <v>596.97776846045656</v>
      </c>
      <c r="AK52" s="12">
        <v>595.2231180067721</v>
      </c>
      <c r="AL52" s="12">
        <v>593.55888125263652</v>
      </c>
      <c r="AM52" s="12">
        <v>591.97641311323162</v>
      </c>
      <c r="AN52" s="12">
        <v>590.46824252800081</v>
      </c>
      <c r="AO52" s="12">
        <v>589.02786984723468</v>
      </c>
      <c r="AP52" s="12">
        <v>587.6496060310559</v>
      </c>
    </row>
    <row r="53" spans="1:42" s="9" customFormat="1">
      <c r="A53" s="11" t="s">
        <v>35</v>
      </c>
      <c r="B53" s="6" t="s">
        <v>81</v>
      </c>
      <c r="C53" s="9">
        <v>1423.5833571339238</v>
      </c>
      <c r="D53" s="9">
        <v>1331.1766198888288</v>
      </c>
      <c r="E53" s="9">
        <v>1310.889447140423</v>
      </c>
      <c r="F53" s="9">
        <v>1268.3925657686275</v>
      </c>
      <c r="G53" s="9">
        <v>1221.2548111435017</v>
      </c>
      <c r="H53" s="9">
        <v>1285.7993704653547</v>
      </c>
      <c r="I53" s="9">
        <v>1306.7864162447615</v>
      </c>
      <c r="J53" s="9">
        <v>1286.8972753720573</v>
      </c>
      <c r="K53" s="9">
        <v>1219.5392850625535</v>
      </c>
      <c r="L53" s="9">
        <v>1211.5294875490688</v>
      </c>
      <c r="M53" s="9">
        <v>1147.1053385050343</v>
      </c>
      <c r="N53" s="9">
        <v>1086.3917745630683</v>
      </c>
      <c r="O53" s="9">
        <v>1024.2870952014871</v>
      </c>
      <c r="P53" s="9">
        <v>999.46632804600199</v>
      </c>
      <c r="Q53" s="9">
        <v>1019.7014911229825</v>
      </c>
      <c r="R53" s="9">
        <v>1021.0219629588908</v>
      </c>
      <c r="S53" s="9">
        <v>933.78777878505332</v>
      </c>
      <c r="T53" s="9">
        <v>904.63656899149964</v>
      </c>
      <c r="U53" s="9">
        <v>897.37322348023667</v>
      </c>
      <c r="V53" s="9">
        <v>907.15419785281563</v>
      </c>
      <c r="W53" s="12">
        <v>873.18545821735211</v>
      </c>
      <c r="X53" s="12">
        <v>863.07781175511718</v>
      </c>
      <c r="Y53" s="12">
        <v>854.41679248012815</v>
      </c>
      <c r="Z53" s="12">
        <v>846.84940314663413</v>
      </c>
      <c r="AA53" s="12">
        <v>840.13695270254993</v>
      </c>
      <c r="AB53" s="12">
        <v>834.11064884823611</v>
      </c>
      <c r="AC53" s="12">
        <v>828.64681716922269</v>
      </c>
      <c r="AD53" s="12">
        <v>823.6521906634058</v>
      </c>
      <c r="AE53" s="12">
        <v>819.0547322447876</v>
      </c>
      <c r="AF53" s="12">
        <v>814.79767014224444</v>
      </c>
      <c r="AG53" s="12">
        <v>810.83548627805692</v>
      </c>
      <c r="AH53" s="12">
        <v>807.13113836286777</v>
      </c>
      <c r="AI53" s="12">
        <v>803.65408738224619</v>
      </c>
      <c r="AJ53" s="12">
        <v>800.37886600818467</v>
      </c>
      <c r="AK53" s="12">
        <v>797.28401943900315</v>
      </c>
      <c r="AL53" s="12">
        <v>794.35130832569473</v>
      </c>
      <c r="AM53" s="12">
        <v>791.56509975112056</v>
      </c>
      <c r="AN53" s="12">
        <v>788.91189550488855</v>
      </c>
      <c r="AO53" s="12">
        <v>786.3799621749564</v>
      </c>
      <c r="AP53" s="12">
        <v>783.9590378199448</v>
      </c>
    </row>
    <row r="54" spans="1:42" s="9" customFormat="1">
      <c r="A54" s="11" t="s">
        <v>35</v>
      </c>
      <c r="B54" s="6" t="s">
        <v>82</v>
      </c>
      <c r="C54" s="9">
        <v>831.89122967367462</v>
      </c>
      <c r="D54" s="9">
        <v>1307.8498777166574</v>
      </c>
      <c r="E54" s="9">
        <v>1297.3885337476552</v>
      </c>
      <c r="F54" s="9">
        <v>1183.9072037451092</v>
      </c>
      <c r="G54" s="9">
        <v>1080.4001965539539</v>
      </c>
      <c r="H54" s="9">
        <v>1130.8226118259802</v>
      </c>
      <c r="I54" s="9">
        <v>1092.5172731611688</v>
      </c>
      <c r="J54" s="9">
        <v>1090.2050759287979</v>
      </c>
      <c r="K54" s="9">
        <v>1005.4102556222211</v>
      </c>
      <c r="L54" s="9">
        <v>1020.7571468496246</v>
      </c>
      <c r="M54" s="9">
        <v>875.33465006923018</v>
      </c>
      <c r="N54" s="9">
        <v>865.18083427840975</v>
      </c>
      <c r="O54" s="9">
        <v>824.62040826500083</v>
      </c>
      <c r="P54" s="9">
        <v>815.24676832715386</v>
      </c>
      <c r="Q54" s="9">
        <v>815.55487060918097</v>
      </c>
      <c r="R54" s="9">
        <v>769.68963046268811</v>
      </c>
      <c r="S54" s="9">
        <v>786.8180122805561</v>
      </c>
      <c r="T54" s="9">
        <v>817.82666191838837</v>
      </c>
      <c r="U54" s="9">
        <v>728.46799167196741</v>
      </c>
      <c r="V54" s="9">
        <v>698.57950650375187</v>
      </c>
      <c r="W54" s="12">
        <v>724.76079896154829</v>
      </c>
      <c r="X54" s="12">
        <v>719.31087206051518</v>
      </c>
      <c r="Y54" s="12">
        <v>714.62306723642894</v>
      </c>
      <c r="Z54" s="12">
        <v>710.51349547733162</v>
      </c>
      <c r="AA54" s="12">
        <v>706.85738780207873</v>
      </c>
      <c r="AB54" s="12">
        <v>703.56624578122194</v>
      </c>
      <c r="AC54" s="12">
        <v>700.5750506627852</v>
      </c>
      <c r="AD54" s="12">
        <v>697.83464920634788</v>
      </c>
      <c r="AE54" s="12">
        <v>695.3069914351471</v>
      </c>
      <c r="AF54" s="12">
        <v>692.96202848006999</v>
      </c>
      <c r="AG54" s="12">
        <v>690.7756217655442</v>
      </c>
      <c r="AH54" s="12">
        <v>688.72809237677416</v>
      </c>
      <c r="AI54" s="12">
        <v>686.8031891402461</v>
      </c>
      <c r="AJ54" s="12">
        <v>684.98733842078468</v>
      </c>
      <c r="AK54" s="12">
        <v>683.26908820171741</v>
      </c>
      <c r="AL54" s="12">
        <v>681.63868909888936</v>
      </c>
      <c r="AM54" s="12">
        <v>680.087773771765</v>
      </c>
      <c r="AN54" s="12">
        <v>678.60910827304588</v>
      </c>
      <c r="AO54" s="12">
        <v>677.19639681726676</v>
      </c>
      <c r="AP54" s="12">
        <v>675.84412677849514</v>
      </c>
    </row>
    <row r="55" spans="1:42" s="9" customFormat="1">
      <c r="A55" s="11" t="s">
        <v>35</v>
      </c>
      <c r="B55" s="6" t="s">
        <v>83</v>
      </c>
      <c r="C55" s="9">
        <v>1036.7665062490373</v>
      </c>
      <c r="D55" s="9">
        <v>1021.393555349997</v>
      </c>
      <c r="E55" s="9">
        <v>971.71747895672945</v>
      </c>
      <c r="F55" s="9">
        <v>908.75207719904165</v>
      </c>
      <c r="G55" s="9">
        <v>861.71918252884279</v>
      </c>
      <c r="H55" s="9">
        <v>781.20029687885722</v>
      </c>
      <c r="I55" s="9">
        <v>682.76504341634438</v>
      </c>
      <c r="J55" s="9">
        <v>672.36077531250999</v>
      </c>
      <c r="K55" s="9">
        <v>760.66374791537248</v>
      </c>
      <c r="L55" s="9">
        <v>729.84152599326569</v>
      </c>
      <c r="M55" s="9">
        <v>724.75021880192867</v>
      </c>
      <c r="N55" s="9">
        <v>668.29822789144339</v>
      </c>
      <c r="O55" s="9">
        <v>661.58567294767727</v>
      </c>
      <c r="P55" s="9">
        <v>646.5093241917624</v>
      </c>
      <c r="Q55" s="9">
        <v>683.23399404639508</v>
      </c>
      <c r="R55" s="9">
        <v>693.98640443694524</v>
      </c>
      <c r="S55" s="9">
        <v>690.00895187825654</v>
      </c>
      <c r="T55" s="9">
        <v>699.14452116089353</v>
      </c>
      <c r="U55" s="9">
        <v>702.15354861002413</v>
      </c>
      <c r="V55" s="9">
        <v>703.98476148283464</v>
      </c>
      <c r="W55" s="12">
        <v>702.99465374009742</v>
      </c>
      <c r="X55" s="12">
        <v>704.05266437688886</v>
      </c>
      <c r="Y55" s="12">
        <v>704.97044186475523</v>
      </c>
      <c r="Z55" s="12">
        <v>705.78097198507749</v>
      </c>
      <c r="AA55" s="12">
        <v>706.50680550149912</v>
      </c>
      <c r="AB55" s="12">
        <v>707.16404480879476</v>
      </c>
      <c r="AC55" s="12">
        <v>707.76459114297381</v>
      </c>
      <c r="AD55" s="12">
        <v>708.31749057727643</v>
      </c>
      <c r="AE55" s="12">
        <v>708.82978056054571</v>
      </c>
      <c r="AF55" s="12">
        <v>709.30704415466414</v>
      </c>
      <c r="AG55" s="12">
        <v>709.75378532360344</v>
      </c>
      <c r="AH55" s="12">
        <v>710.17369043515043</v>
      </c>
      <c r="AI55" s="12">
        <v>710.56981502762312</v>
      </c>
      <c r="AJ55" s="12">
        <v>710.94472009743833</v>
      </c>
      <c r="AK55" s="12">
        <v>711.3005734469865</v>
      </c>
      <c r="AL55" s="12">
        <v>711.63922632183767</v>
      </c>
      <c r="AM55" s="12">
        <v>711.9622722339351</v>
      </c>
      <c r="AN55" s="12">
        <v>712.27109272091366</v>
      </c>
      <c r="AO55" s="12">
        <v>712.56689337637397</v>
      </c>
      <c r="AP55" s="12">
        <v>712.85073253301618</v>
      </c>
    </row>
    <row r="56" spans="1:42" s="9" customFormat="1">
      <c r="A56" s="11" t="s">
        <v>35</v>
      </c>
      <c r="B56" s="6" t="s">
        <v>84</v>
      </c>
      <c r="C56" s="9">
        <v>353.27562684166935</v>
      </c>
      <c r="D56" s="9">
        <v>1215.0238018733314</v>
      </c>
      <c r="E56" s="9">
        <v>1176.1142362353312</v>
      </c>
      <c r="F56" s="9">
        <v>1143.1338819813286</v>
      </c>
      <c r="G56" s="9">
        <v>1077.91593578167</v>
      </c>
      <c r="H56" s="9">
        <v>1117.5389939700035</v>
      </c>
      <c r="I56" s="9">
        <v>1115.1364219846635</v>
      </c>
      <c r="J56" s="9">
        <v>1125.6125409083152</v>
      </c>
      <c r="K56" s="9">
        <v>1123.0383873179976</v>
      </c>
      <c r="L56" s="9">
        <v>1106.4725423863433</v>
      </c>
      <c r="M56" s="9">
        <v>1018.7457638316437</v>
      </c>
      <c r="N56" s="9">
        <v>973.44310472531754</v>
      </c>
      <c r="O56" s="9">
        <v>933.27932689599504</v>
      </c>
      <c r="P56" s="9">
        <v>926.69028618098741</v>
      </c>
      <c r="Q56" s="9">
        <v>929.36153700199441</v>
      </c>
      <c r="R56" s="9">
        <v>905.60936232764743</v>
      </c>
      <c r="S56" s="9">
        <v>854.18321172532831</v>
      </c>
      <c r="T56" s="9">
        <v>825.6845660010008</v>
      </c>
      <c r="U56" s="9">
        <v>831.99068395099857</v>
      </c>
      <c r="V56" s="9">
        <v>813.2376017120115</v>
      </c>
      <c r="W56" s="12">
        <v>804.82613708549172</v>
      </c>
      <c r="X56" s="12">
        <v>796.71043282380731</v>
      </c>
      <c r="Y56" s="12">
        <v>789.74646920835733</v>
      </c>
      <c r="Z56" s="12">
        <v>783.65436148429524</v>
      </c>
      <c r="AA56" s="12">
        <v>778.24461743493237</v>
      </c>
      <c r="AB56" s="12">
        <v>773.38308688649147</v>
      </c>
      <c r="AC56" s="12">
        <v>768.97137971080974</v>
      </c>
      <c r="AD56" s="12">
        <v>764.93522956320464</v>
      </c>
      <c r="AE56" s="12">
        <v>761.217227582958</v>
      </c>
      <c r="AF56" s="12">
        <v>757.77209592508336</v>
      </c>
      <c r="AG56" s="12">
        <v>754.56350640906453</v>
      </c>
      <c r="AH56" s="12">
        <v>751.56187596791983</v>
      </c>
      <c r="AI56" s="12">
        <v>748.74280021420441</v>
      </c>
      <c r="AJ56" s="12">
        <v>746.08591586270506</v>
      </c>
      <c r="AK56" s="12">
        <v>743.57405860177948</v>
      </c>
      <c r="AL56" s="12">
        <v>741.19262899758746</v>
      </c>
      <c r="AM56" s="12">
        <v>738.92910774707877</v>
      </c>
      <c r="AN56" s="12">
        <v>736.77268002486289</v>
      </c>
      <c r="AO56" s="12">
        <v>734.71394077194907</v>
      </c>
      <c r="AP56" s="12">
        <v>732.74466089244288</v>
      </c>
    </row>
    <row r="57" spans="1:42" s="9" customFormat="1">
      <c r="A57" s="11" t="s">
        <v>35</v>
      </c>
      <c r="B57" s="6" t="s">
        <v>85</v>
      </c>
      <c r="C57" s="9">
        <v>1232.1809034945779</v>
      </c>
      <c r="D57" s="9">
        <v>1192.2091072106216</v>
      </c>
      <c r="E57" s="9">
        <v>1139.9198825780047</v>
      </c>
      <c r="F57" s="9">
        <v>1110.8648908453292</v>
      </c>
      <c r="G57" s="9">
        <v>1050.065353543712</v>
      </c>
      <c r="H57" s="9">
        <v>1085.3171819929248</v>
      </c>
      <c r="I57" s="9">
        <v>1083.5956135231038</v>
      </c>
      <c r="J57" s="9">
        <v>1070.5048195148629</v>
      </c>
      <c r="K57" s="9">
        <v>1003.5760336543686</v>
      </c>
      <c r="L57" s="9">
        <v>1000.3130758994241</v>
      </c>
      <c r="M57" s="9">
        <v>899.17559635930479</v>
      </c>
      <c r="N57" s="9">
        <v>881.59953232905525</v>
      </c>
      <c r="O57" s="9">
        <v>820.44648355821801</v>
      </c>
      <c r="P57" s="9">
        <v>833.13084936442237</v>
      </c>
      <c r="Q57" s="9">
        <v>835.31474025282</v>
      </c>
      <c r="R57" s="9">
        <v>788.45131486045898</v>
      </c>
      <c r="S57" s="9">
        <v>787.95251499624158</v>
      </c>
      <c r="T57" s="9">
        <v>839.8977652321521</v>
      </c>
      <c r="U57" s="9">
        <v>780.70841170383574</v>
      </c>
      <c r="V57" s="9">
        <v>769.36307468670736</v>
      </c>
      <c r="W57" s="12">
        <v>785.65739329590929</v>
      </c>
      <c r="X57" s="12">
        <v>784.61055464679089</v>
      </c>
      <c r="Y57" s="12">
        <v>783.70486929013987</v>
      </c>
      <c r="Z57" s="12">
        <v>782.90686599709886</v>
      </c>
      <c r="AA57" s="12">
        <v>782.19371628249712</v>
      </c>
      <c r="AB57" s="12">
        <v>781.54915352439446</v>
      </c>
      <c r="AC57" s="12">
        <v>780.96117763066172</v>
      </c>
      <c r="AD57" s="12">
        <v>780.42068287301879</v>
      </c>
      <c r="AE57" s="12">
        <v>779.92059639107686</v>
      </c>
      <c r="AF57" s="12">
        <v>779.45531505576446</v>
      </c>
      <c r="AG57" s="12">
        <v>779.020324709389</v>
      </c>
      <c r="AH57" s="12">
        <v>778.61193520894301</v>
      </c>
      <c r="AI57" s="12">
        <v>778.22709142882115</v>
      </c>
      <c r="AJ57" s="12">
        <v>777.86323550708642</v>
      </c>
      <c r="AK57" s="12">
        <v>777.51820451997912</v>
      </c>
      <c r="AL57" s="12">
        <v>777.19015318570109</v>
      </c>
      <c r="AM57" s="12">
        <v>776.87749459359134</v>
      </c>
      <c r="AN57" s="12">
        <v>776.57885413951124</v>
      </c>
      <c r="AO57" s="12">
        <v>776.29303328729407</v>
      </c>
      <c r="AP57" s="12">
        <v>776.01898074416999</v>
      </c>
    </row>
    <row r="58" spans="1:42" s="9" customFormat="1">
      <c r="A58" s="11" t="s">
        <v>35</v>
      </c>
      <c r="B58" s="6" t="s">
        <v>86</v>
      </c>
      <c r="C58" s="9">
        <v>1119.2421495185461</v>
      </c>
      <c r="D58" s="9">
        <v>1051.0884593016676</v>
      </c>
      <c r="E58" s="9">
        <v>997.94124026021927</v>
      </c>
      <c r="F58" s="9">
        <v>961.32999178936007</v>
      </c>
      <c r="G58" s="9">
        <v>943.17857514910179</v>
      </c>
      <c r="H58" s="9">
        <v>965.6286400858005</v>
      </c>
      <c r="I58" s="9">
        <v>956.90392910046</v>
      </c>
      <c r="J58" s="9">
        <v>959.34990818703022</v>
      </c>
      <c r="K58" s="9">
        <v>881.91741041380044</v>
      </c>
      <c r="L58" s="9">
        <v>893.12631197273777</v>
      </c>
      <c r="M58" s="9">
        <v>807.88653294710423</v>
      </c>
      <c r="N58" s="9">
        <v>787.21490882942294</v>
      </c>
      <c r="O58" s="9">
        <v>759.51705488304765</v>
      </c>
      <c r="P58" s="9">
        <v>733.90224226611838</v>
      </c>
      <c r="Q58" s="9">
        <v>770.95248125077183</v>
      </c>
      <c r="R58" s="9">
        <v>728.86168331379747</v>
      </c>
      <c r="S58" s="9">
        <v>724.98916498276697</v>
      </c>
      <c r="T58" s="9">
        <v>746.52363664906534</v>
      </c>
      <c r="U58" s="9">
        <v>701.19832911244475</v>
      </c>
      <c r="V58" s="9">
        <v>699.17734027967379</v>
      </c>
      <c r="W58" s="12">
        <v>704.43482733786618</v>
      </c>
      <c r="X58" s="12">
        <v>701.73970018411592</v>
      </c>
      <c r="Y58" s="12">
        <v>699.41341103296213</v>
      </c>
      <c r="Z58" s="12">
        <v>697.36788051695794</v>
      </c>
      <c r="AA58" s="12">
        <v>695.54316090190594</v>
      </c>
      <c r="AB58" s="12">
        <v>693.89661465492406</v>
      </c>
      <c r="AC58" s="12">
        <v>692.39683946412163</v>
      </c>
      <c r="AD58" s="12">
        <v>691.02004275326715</v>
      </c>
      <c r="AE58" s="12">
        <v>689.74776895995183</v>
      </c>
      <c r="AF58" s="12">
        <v>688.56541599352875</v>
      </c>
      <c r="AG58" s="12">
        <v>687.46123343753084</v>
      </c>
      <c r="AH58" s="12">
        <v>686.42562626293068</v>
      </c>
      <c r="AI58" s="12">
        <v>685.45065870535689</v>
      </c>
      <c r="AJ58" s="12">
        <v>684.5296930311581</v>
      </c>
      <c r="AK58" s="12">
        <v>683.65712146764702</v>
      </c>
      <c r="AL58" s="12">
        <v>682.82816388945719</v>
      </c>
      <c r="AM58" s="12">
        <v>682.0387128183329</v>
      </c>
      <c r="AN58" s="12">
        <v>681.28521305750667</v>
      </c>
      <c r="AO58" s="12">
        <v>680.56456707522318</v>
      </c>
      <c r="AP58" s="12">
        <v>679.87405980165761</v>
      </c>
    </row>
    <row r="59" spans="1:42" s="15" customFormat="1">
      <c r="A59" s="13" t="s">
        <v>35</v>
      </c>
      <c r="B59" s="14" t="s">
        <v>87</v>
      </c>
      <c r="C59" s="15">
        <v>1192.6060462995017</v>
      </c>
      <c r="D59" s="15">
        <v>1144.1612463276206</v>
      </c>
      <c r="E59" s="15">
        <v>1061.3215497374515</v>
      </c>
      <c r="F59" s="15">
        <v>1011.0223578976401</v>
      </c>
      <c r="G59" s="15">
        <v>959.70649158605283</v>
      </c>
      <c r="H59" s="15">
        <v>997.39508201141746</v>
      </c>
      <c r="I59" s="15">
        <v>996.72832137280932</v>
      </c>
      <c r="J59" s="15">
        <v>984.20908815286111</v>
      </c>
      <c r="K59" s="15">
        <v>937.05405896349987</v>
      </c>
      <c r="L59" s="15">
        <v>930.54519466856834</v>
      </c>
      <c r="M59" s="15">
        <v>857.86554994275309</v>
      </c>
      <c r="N59" s="15">
        <v>830.08910880914971</v>
      </c>
      <c r="O59" s="15">
        <v>786.68237270879331</v>
      </c>
      <c r="P59" s="15">
        <v>799.81880388763784</v>
      </c>
      <c r="Q59" s="15">
        <v>800.74669416793722</v>
      </c>
      <c r="R59" s="15">
        <v>765.42976586519865</v>
      </c>
      <c r="S59" s="15">
        <v>751.6732479058503</v>
      </c>
      <c r="T59" s="15">
        <v>763.8142109234758</v>
      </c>
      <c r="U59" s="15">
        <v>732.68826094055203</v>
      </c>
      <c r="V59" s="15">
        <v>716.98012268829132</v>
      </c>
      <c r="W59" s="16">
        <v>722.72981356966761</v>
      </c>
      <c r="X59" s="16">
        <v>718.55237376679111</v>
      </c>
      <c r="Y59" s="16">
        <v>714.95323314993777</v>
      </c>
      <c r="Z59" s="16">
        <v>711.79353291060079</v>
      </c>
      <c r="AA59" s="16">
        <v>708.97891919213191</v>
      </c>
      <c r="AB59" s="16">
        <v>706.44238042899894</v>
      </c>
      <c r="AC59" s="16">
        <v>704.13462698615456</v>
      </c>
      <c r="AD59" s="16">
        <v>702.0183575027977</v>
      </c>
      <c r="AE59" s="16">
        <v>700.0646689435672</v>
      </c>
      <c r="AF59" s="16">
        <v>698.25071579430789</v>
      </c>
      <c r="AG59" s="16">
        <v>696.55813097026635</v>
      </c>
      <c r="AH59" s="16">
        <v>694.97192931115649</v>
      </c>
      <c r="AI59" s="16">
        <v>693.4797269697109</v>
      </c>
      <c r="AJ59" s="16">
        <v>692.07117349839427</v>
      </c>
      <c r="AK59" s="16">
        <v>690.73753072492684</v>
      </c>
      <c r="AL59" s="16">
        <v>689.47135515559899</v>
      </c>
      <c r="AM59" s="16">
        <v>688.26625481755423</v>
      </c>
      <c r="AN59" s="16">
        <v>687.11670055599109</v>
      </c>
      <c r="AO59" s="16">
        <v>686.01787779042252</v>
      </c>
      <c r="AP59" s="16">
        <v>684.96556875643694</v>
      </c>
    </row>
    <row r="60" spans="1:42" s="9" customFormat="1">
      <c r="A60" s="11" t="s">
        <v>36</v>
      </c>
      <c r="B60" s="6" t="s">
        <v>88</v>
      </c>
      <c r="C60" s="9">
        <v>692.54453720729578</v>
      </c>
      <c r="D60" s="9">
        <v>617.44730165490944</v>
      </c>
      <c r="E60" s="9">
        <v>502.30383225944649</v>
      </c>
      <c r="F60" s="9">
        <v>552.21639604395159</v>
      </c>
      <c r="G60" s="9">
        <v>534.71664106104311</v>
      </c>
      <c r="H60" s="9">
        <v>539.16015040419029</v>
      </c>
      <c r="I60" s="9">
        <v>534.00676834157935</v>
      </c>
      <c r="J60" s="9">
        <v>488.63322880312262</v>
      </c>
      <c r="K60" s="9">
        <v>447.0642156647898</v>
      </c>
      <c r="L60" s="9">
        <v>422.55726766357287</v>
      </c>
      <c r="M60" s="9">
        <v>372.28606351185476</v>
      </c>
      <c r="N60" s="9">
        <v>306.10358321813106</v>
      </c>
      <c r="O60" s="9">
        <v>282.69089828926451</v>
      </c>
      <c r="P60" s="9">
        <v>265.29232643909791</v>
      </c>
      <c r="Q60" s="9">
        <v>243.95780582460551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</row>
    <row r="61" spans="1:42" s="9" customFormat="1">
      <c r="A61" s="11" t="s">
        <v>36</v>
      </c>
      <c r="B61" s="6" t="s">
        <v>89</v>
      </c>
      <c r="C61" s="9">
        <v>619.45501571467639</v>
      </c>
      <c r="D61" s="9">
        <v>550.75564347573334</v>
      </c>
      <c r="E61" s="9">
        <v>473.92247425071196</v>
      </c>
      <c r="F61" s="9">
        <v>506.4359577684636</v>
      </c>
      <c r="G61" s="9">
        <v>479.9740224315106</v>
      </c>
      <c r="H61" s="9">
        <v>503.96898335444797</v>
      </c>
      <c r="I61" s="9">
        <v>474.46546133580603</v>
      </c>
      <c r="J61" s="9">
        <v>443.51861628367305</v>
      </c>
      <c r="K61" s="9">
        <v>416.53158996557931</v>
      </c>
      <c r="L61" s="9">
        <v>391.62165620935912</v>
      </c>
      <c r="M61" s="9">
        <v>355.78356090037585</v>
      </c>
      <c r="N61" s="9">
        <v>284.80272517675411</v>
      </c>
      <c r="O61" s="9">
        <v>292.72504759316399</v>
      </c>
      <c r="P61" s="9">
        <v>242.95393124749813</v>
      </c>
      <c r="Q61" s="9">
        <v>226.64900594699216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</row>
    <row r="62" spans="1:42" s="9" customFormat="1">
      <c r="A62" s="11" t="s">
        <v>36</v>
      </c>
      <c r="B62" s="6" t="s">
        <v>90</v>
      </c>
      <c r="C62" s="9">
        <v>705.76229671741373</v>
      </c>
      <c r="D62" s="9">
        <v>607.66800751058554</v>
      </c>
      <c r="E62" s="9">
        <v>505.38025157397306</v>
      </c>
      <c r="F62" s="9">
        <v>544.99524853193179</v>
      </c>
      <c r="G62" s="9">
        <v>536.02982831101849</v>
      </c>
      <c r="H62" s="9">
        <v>539.47412293161267</v>
      </c>
      <c r="I62" s="9">
        <v>521.0031827967365</v>
      </c>
      <c r="J62" s="9">
        <v>486.16704902162468</v>
      </c>
      <c r="K62" s="9">
        <v>471.14879013428691</v>
      </c>
      <c r="L62" s="9">
        <v>446.09790517303736</v>
      </c>
      <c r="M62" s="9">
        <v>400.32091877749014</v>
      </c>
      <c r="N62" s="9">
        <v>322.38276037034416</v>
      </c>
      <c r="O62" s="9">
        <v>310.92048518876913</v>
      </c>
      <c r="P62" s="9">
        <v>276.90707494837181</v>
      </c>
      <c r="Q62" s="9">
        <v>259.85629331922956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</row>
    <row r="63" spans="1:42" s="9" customFormat="1">
      <c r="A63" s="11" t="s">
        <v>36</v>
      </c>
      <c r="B63" s="6" t="s">
        <v>91</v>
      </c>
      <c r="C63" s="9">
        <v>26.558283170439555</v>
      </c>
      <c r="D63" s="9">
        <v>573.35653642931766</v>
      </c>
      <c r="E63" s="9">
        <v>485.37606454428845</v>
      </c>
      <c r="F63" s="9">
        <v>538.39661220810558</v>
      </c>
      <c r="G63" s="9">
        <v>536.71497562819059</v>
      </c>
      <c r="H63" s="9">
        <v>517.81753192330461</v>
      </c>
      <c r="I63" s="9">
        <v>510.14285694523397</v>
      </c>
      <c r="J63" s="9">
        <v>480.17105583112163</v>
      </c>
      <c r="K63" s="9">
        <v>486.79018262154591</v>
      </c>
      <c r="L63" s="9">
        <v>472.60881426816036</v>
      </c>
      <c r="M63" s="9">
        <v>428.54086019280072</v>
      </c>
      <c r="N63" s="9">
        <v>353.87042771612647</v>
      </c>
      <c r="O63" s="9">
        <v>333.47396966548393</v>
      </c>
      <c r="P63" s="9">
        <v>298.2313017664855</v>
      </c>
      <c r="Q63" s="9">
        <v>286.81266707897908</v>
      </c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</row>
    <row r="64" spans="1:42" s="9" customFormat="1">
      <c r="A64" s="11" t="s">
        <v>36</v>
      </c>
      <c r="B64" s="6" t="s">
        <v>92</v>
      </c>
      <c r="C64" s="9">
        <v>697.60294180764208</v>
      </c>
      <c r="D64" s="9">
        <v>632.25963850565586</v>
      </c>
      <c r="E64" s="9">
        <v>553.93054150169473</v>
      </c>
      <c r="F64" s="9">
        <v>599.0798951705616</v>
      </c>
      <c r="G64" s="9">
        <v>608.12996645275507</v>
      </c>
      <c r="H64" s="9">
        <v>597.46457291704837</v>
      </c>
      <c r="I64" s="9">
        <v>573.94566417465785</v>
      </c>
      <c r="J64" s="9">
        <v>541.14943907166014</v>
      </c>
      <c r="K64" s="9">
        <v>536.05330655930788</v>
      </c>
      <c r="L64" s="9">
        <v>513.2744839142498</v>
      </c>
      <c r="M64" s="9">
        <v>455.91323540015952</v>
      </c>
      <c r="N64" s="9">
        <v>376.79051102840248</v>
      </c>
      <c r="O64" s="9">
        <v>358.14252207371385</v>
      </c>
      <c r="P64" s="9">
        <v>325.06614808419613</v>
      </c>
      <c r="Q64" s="9">
        <v>303.51830724391107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</row>
    <row r="65" spans="1:42" s="9" customFormat="1">
      <c r="A65" s="11" t="s">
        <v>36</v>
      </c>
      <c r="B65" s="6" t="s">
        <v>93</v>
      </c>
      <c r="C65" s="9">
        <v>762.74174312992398</v>
      </c>
      <c r="D65" s="9">
        <v>703.45520345868556</v>
      </c>
      <c r="E65" s="9">
        <v>671.5510282254786</v>
      </c>
      <c r="F65" s="9">
        <v>678.42524503188122</v>
      </c>
      <c r="G65" s="9">
        <v>685.992952118468</v>
      </c>
      <c r="H65" s="9">
        <v>675.00761199045053</v>
      </c>
      <c r="I65" s="9">
        <v>655.10121649382836</v>
      </c>
      <c r="J65" s="9">
        <v>614.87528488750354</v>
      </c>
      <c r="K65" s="9">
        <v>640.30605832366177</v>
      </c>
      <c r="L65" s="9">
        <v>626.73093869397792</v>
      </c>
      <c r="M65" s="9">
        <v>596.38498045470294</v>
      </c>
      <c r="N65" s="9">
        <v>526.4065597723644</v>
      </c>
      <c r="O65" s="9">
        <v>515.87746329260494</v>
      </c>
      <c r="P65" s="9">
        <v>492.86186326599363</v>
      </c>
      <c r="Q65" s="9">
        <v>443.73504549933443</v>
      </c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</row>
    <row r="66" spans="1:42" s="9" customFormat="1">
      <c r="A66" s="11" t="s">
        <v>36</v>
      </c>
      <c r="B66" s="6" t="s">
        <v>94</v>
      </c>
      <c r="C66" s="9">
        <v>825.32604639262502</v>
      </c>
      <c r="D66" s="9">
        <v>769.43369839059778</v>
      </c>
      <c r="E66" s="9">
        <v>718.27915360240115</v>
      </c>
      <c r="F66" s="9">
        <v>715.74840535048759</v>
      </c>
      <c r="G66" s="9">
        <v>728.97544863473502</v>
      </c>
      <c r="H66" s="9">
        <v>714.62535100900186</v>
      </c>
      <c r="I66" s="9">
        <v>700.73992599702183</v>
      </c>
      <c r="J66" s="9">
        <v>651.54731080623969</v>
      </c>
      <c r="K66" s="9">
        <v>671.69670492615705</v>
      </c>
      <c r="L66" s="9">
        <v>649.89152735291839</v>
      </c>
      <c r="M66" s="9">
        <v>609.45084492434808</v>
      </c>
      <c r="N66" s="9">
        <v>547.26957270267337</v>
      </c>
      <c r="O66" s="9">
        <v>522.27106808512622</v>
      </c>
      <c r="P66" s="9">
        <v>513.9701803800026</v>
      </c>
      <c r="Q66" s="9">
        <v>453.65784919262313</v>
      </c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</row>
    <row r="67" spans="1:42" s="9" customFormat="1">
      <c r="A67" s="11" t="s">
        <v>36</v>
      </c>
      <c r="B67" s="6" t="s">
        <v>95</v>
      </c>
      <c r="C67" s="9">
        <v>927.86385362500096</v>
      </c>
      <c r="D67" s="9">
        <v>866.16251244576074</v>
      </c>
      <c r="E67" s="9">
        <v>815.59086240525767</v>
      </c>
      <c r="F67" s="9">
        <v>825.98887779638687</v>
      </c>
      <c r="G67" s="9">
        <v>830.50249378558442</v>
      </c>
      <c r="H67" s="9">
        <v>789.72831191183616</v>
      </c>
      <c r="I67" s="9">
        <v>759.83474061694358</v>
      </c>
      <c r="J67" s="9">
        <v>713.03986594136188</v>
      </c>
      <c r="K67" s="9">
        <v>737.35812631140675</v>
      </c>
      <c r="L67" s="9">
        <v>721.21156969732624</v>
      </c>
      <c r="M67" s="9">
        <v>666.4472088400297</v>
      </c>
      <c r="N67" s="9">
        <v>618.79462832079389</v>
      </c>
      <c r="O67" s="9">
        <v>594.81667585126286</v>
      </c>
      <c r="P67" s="9">
        <v>587.24793763891876</v>
      </c>
      <c r="Q67" s="9">
        <v>522.61872697708088</v>
      </c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</row>
    <row r="68" spans="1:42" s="15" customFormat="1">
      <c r="A68" s="13" t="s">
        <v>36</v>
      </c>
      <c r="B68" s="14" t="s">
        <v>96</v>
      </c>
      <c r="C68" s="15">
        <v>841.90661172720206</v>
      </c>
      <c r="D68" s="15">
        <v>728.16920088636039</v>
      </c>
      <c r="E68" s="15">
        <v>698.58264924050536</v>
      </c>
      <c r="F68" s="15">
        <v>703.16347550424553</v>
      </c>
      <c r="G68" s="15">
        <v>708.01054590298475</v>
      </c>
      <c r="H68" s="15">
        <v>684.75886563025631</v>
      </c>
      <c r="I68" s="15">
        <v>699.99941923167466</v>
      </c>
      <c r="J68" s="15">
        <v>662.81257473641347</v>
      </c>
      <c r="K68" s="15">
        <v>654.50652651990458</v>
      </c>
      <c r="L68" s="15">
        <v>619.61845741811533</v>
      </c>
      <c r="M68" s="15">
        <v>637.39893027524226</v>
      </c>
      <c r="N68" s="15">
        <v>569.79378000145448</v>
      </c>
      <c r="O68" s="15">
        <v>552.35574826998868</v>
      </c>
      <c r="P68" s="15">
        <v>548.8131192019315</v>
      </c>
      <c r="Q68" s="15">
        <v>498.08537766729995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</row>
    <row r="69" spans="1:42" s="9" customFormat="1">
      <c r="A69" s="11" t="s">
        <v>37</v>
      </c>
      <c r="B69" s="6" t="s">
        <v>97</v>
      </c>
      <c r="C69" s="9">
        <v>1085.3069103617465</v>
      </c>
      <c r="D69" s="9">
        <v>1147.669619344168</v>
      </c>
      <c r="E69" s="9">
        <v>1174.0634414155247</v>
      </c>
      <c r="F69" s="9">
        <v>1241.3814897505376</v>
      </c>
      <c r="G69" s="9">
        <v>1335.0119017716836</v>
      </c>
      <c r="H69" s="9">
        <v>1323.3284105698931</v>
      </c>
      <c r="I69" s="9">
        <v>1289.2009027696108</v>
      </c>
      <c r="J69" s="9">
        <v>1250.3227545205921</v>
      </c>
      <c r="K69" s="9">
        <v>1252.6331448628084</v>
      </c>
      <c r="L69" s="9">
        <v>1221.9178284410903</v>
      </c>
      <c r="M69" s="9">
        <v>1150.758160043086</v>
      </c>
      <c r="N69" s="9">
        <v>1169.4313747752528</v>
      </c>
      <c r="O69" s="9">
        <v>1140.8957660045244</v>
      </c>
      <c r="P69" s="9">
        <v>1123.018571320097</v>
      </c>
      <c r="Q69" s="9">
        <v>1138.8686944914582</v>
      </c>
      <c r="R69" s="9">
        <v>1096.8867896702159</v>
      </c>
      <c r="S69" s="9">
        <v>1098.3455460126959</v>
      </c>
      <c r="T69" s="9">
        <v>1073.1248845131756</v>
      </c>
      <c r="U69" s="9">
        <v>1090.4336352056566</v>
      </c>
      <c r="V69" s="9">
        <v>1075.8300298395779</v>
      </c>
      <c r="W69" s="12">
        <v>1079.901573893959</v>
      </c>
      <c r="X69" s="12">
        <v>1078.0409180928773</v>
      </c>
      <c r="Y69" s="12">
        <v>1076.4317362574936</v>
      </c>
      <c r="Z69" s="12">
        <v>1075.0143311873894</v>
      </c>
      <c r="AA69" s="12">
        <v>1073.7480007165004</v>
      </c>
      <c r="AB69" s="12">
        <v>1072.6037505545205</v>
      </c>
      <c r="AC69" s="12">
        <v>1071.5601967771177</v>
      </c>
      <c r="AD69" s="12">
        <v>1070.6011169592002</v>
      </c>
      <c r="AE69" s="12">
        <v>1069.7139130559519</v>
      </c>
      <c r="AF69" s="12">
        <v>1068.8886068494528</v>
      </c>
      <c r="AG69" s="12">
        <v>1068.117160864957</v>
      </c>
      <c r="AH69" s="12">
        <v>1067.3930059095064</v>
      </c>
      <c r="AI69" s="12">
        <v>1066.7107041169061</v>
      </c>
      <c r="AJ69" s="12">
        <v>1066.0657033922607</v>
      </c>
      <c r="AK69" s="12">
        <v>1065.4541550374588</v>
      </c>
      <c r="AL69" s="12">
        <v>1064.8727760059819</v>
      </c>
      <c r="AM69" s="12">
        <v>1064.318743294042</v>
      </c>
      <c r="AN69" s="12">
        <v>1063.7896118730864</v>
      </c>
      <c r="AO69" s="12">
        <v>1063.2832501360595</v>
      </c>
      <c r="AP69" s="12">
        <v>1062.7977885565574</v>
      </c>
    </row>
    <row r="70" spans="1:42" s="9" customFormat="1">
      <c r="A70" s="11" t="s">
        <v>37</v>
      </c>
      <c r="B70" s="6" t="s">
        <v>98</v>
      </c>
      <c r="C70" s="9">
        <v>1070.9326055044589</v>
      </c>
      <c r="D70" s="9">
        <v>1088.5750151550774</v>
      </c>
      <c r="E70" s="9">
        <v>1156.6175192884507</v>
      </c>
      <c r="F70" s="9">
        <v>1180.540082082463</v>
      </c>
      <c r="G70" s="9">
        <v>1238.692199106242</v>
      </c>
      <c r="H70" s="9">
        <v>1226.5530932436031</v>
      </c>
      <c r="I70" s="9">
        <v>1210.0944473321688</v>
      </c>
      <c r="J70" s="9">
        <v>1157.935799941363</v>
      </c>
      <c r="K70" s="9">
        <v>1118.6498451802629</v>
      </c>
      <c r="L70" s="9">
        <v>1080.2088326624707</v>
      </c>
      <c r="M70" s="9">
        <v>1051.3329238314986</v>
      </c>
      <c r="N70" s="9">
        <v>1063.6597725437878</v>
      </c>
      <c r="O70" s="9">
        <v>1024.8319414791365</v>
      </c>
      <c r="P70" s="9">
        <v>998.57075053147935</v>
      </c>
      <c r="Q70" s="9">
        <v>1037.9355398471469</v>
      </c>
      <c r="R70" s="9">
        <v>996.95208022223198</v>
      </c>
      <c r="S70" s="9">
        <v>1007.9698838067301</v>
      </c>
      <c r="T70" s="9">
        <v>1001.0026565068807</v>
      </c>
      <c r="U70" s="9">
        <v>994.24952554485105</v>
      </c>
      <c r="V70" s="9">
        <v>985.73571918832965</v>
      </c>
      <c r="W70" s="12">
        <v>989.94096680352709</v>
      </c>
      <c r="X70" s="12">
        <v>988.50601956297749</v>
      </c>
      <c r="Y70" s="12">
        <v>987.26469310448067</v>
      </c>
      <c r="Z70" s="12">
        <v>986.17105952006307</v>
      </c>
      <c r="AA70" s="12">
        <v>985.19379752486861</v>
      </c>
      <c r="AB70" s="12">
        <v>984.31059081422404</v>
      </c>
      <c r="AC70" s="12">
        <v>983.50497764461932</v>
      </c>
      <c r="AD70" s="12">
        <v>982.76446764215939</v>
      </c>
      <c r="AE70" s="12">
        <v>982.07935955115386</v>
      </c>
      <c r="AF70" s="12">
        <v>981.44196847903675</v>
      </c>
      <c r="AG70" s="12">
        <v>980.84610343613963</v>
      </c>
      <c r="AH70" s="12">
        <v>980.28670379526557</v>
      </c>
      <c r="AI70" s="12">
        <v>979.7595799866989</v>
      </c>
      <c r="AJ70" s="12">
        <v>979.26122450870685</v>
      </c>
      <c r="AK70" s="12">
        <v>978.78867154976444</v>
      </c>
      <c r="AL70" s="12">
        <v>978.33939095235337</v>
      </c>
      <c r="AM70" s="12">
        <v>977.91120690759192</v>
      </c>
      <c r="AN70" s="12">
        <v>977.50223476804172</v>
      </c>
      <c r="AO70" s="12">
        <v>977.1108313408339</v>
      </c>
      <c r="AP70" s="12">
        <v>976.73555535160176</v>
      </c>
    </row>
    <row r="71" spans="1:42" s="9" customFormat="1">
      <c r="A71" s="11" t="s">
        <v>37</v>
      </c>
      <c r="B71" s="6" t="s">
        <v>99</v>
      </c>
      <c r="C71" s="9">
        <v>944.8447441365181</v>
      </c>
      <c r="D71" s="9">
        <v>973.38140522918957</v>
      </c>
      <c r="E71" s="9">
        <v>1046.6088038880569</v>
      </c>
      <c r="F71" s="9">
        <v>1157.5455901748803</v>
      </c>
      <c r="G71" s="9">
        <v>1219.0683732355312</v>
      </c>
      <c r="H71" s="9">
        <v>1210.8470145618023</v>
      </c>
      <c r="I71" s="9">
        <v>1184.4847856694955</v>
      </c>
      <c r="J71" s="9">
        <v>1129.6289935818916</v>
      </c>
      <c r="K71" s="9">
        <v>1110.5741615575146</v>
      </c>
      <c r="L71" s="9">
        <v>1091.8791626068635</v>
      </c>
      <c r="M71" s="9">
        <v>1048.1007480394119</v>
      </c>
      <c r="N71" s="9">
        <v>1051.8710381959008</v>
      </c>
      <c r="O71" s="9">
        <v>1028.5459959612308</v>
      </c>
      <c r="P71" s="9">
        <v>1030.3255296365489</v>
      </c>
      <c r="Q71" s="9">
        <v>1032.0679969701866</v>
      </c>
      <c r="R71" s="9">
        <v>1005.6897315671644</v>
      </c>
      <c r="S71" s="9">
        <v>1020.59833900224</v>
      </c>
      <c r="T71" s="9">
        <v>1017.9516627874935</v>
      </c>
      <c r="U71" s="9">
        <v>1038.9311609118924</v>
      </c>
      <c r="V71" s="9">
        <v>1026.6660933663607</v>
      </c>
      <c r="W71" s="12">
        <v>1037.9010410116678</v>
      </c>
      <c r="X71" s="12">
        <v>1040.5883884985144</v>
      </c>
      <c r="Y71" s="12">
        <v>1042.9218984089864</v>
      </c>
      <c r="Z71" s="12">
        <v>1044.9845431796628</v>
      </c>
      <c r="AA71" s="12">
        <v>1046.8330982774758</v>
      </c>
      <c r="AB71" s="12">
        <v>1048.5081366477282</v>
      </c>
      <c r="AC71" s="12">
        <v>1050.0396670945529</v>
      </c>
      <c r="AD71" s="12">
        <v>1051.4505139523187</v>
      </c>
      <c r="AE71" s="12">
        <v>1052.758444077092</v>
      </c>
      <c r="AF71" s="12">
        <v>1053.9775602523375</v>
      </c>
      <c r="AG71" s="12">
        <v>1055.1192452254998</v>
      </c>
      <c r="AH71" s="12">
        <v>1056.1928198514709</v>
      </c>
      <c r="AI71" s="12">
        <v>1057.2060133688517</v>
      </c>
      <c r="AJ71" s="12">
        <v>1058.1653067237282</v>
      </c>
      <c r="AK71" s="12">
        <v>1059.0761879835932</v>
      </c>
      <c r="AL71" s="12">
        <v>1059.9433455525989</v>
      </c>
      <c r="AM71" s="12">
        <v>1060.7708165302183</v>
      </c>
      <c r="AN71" s="12">
        <v>1061.5621021623379</v>
      </c>
      <c r="AO71" s="12">
        <v>1062.3202587766209</v>
      </c>
      <c r="AP71" s="12">
        <v>1063.0479701980432</v>
      </c>
    </row>
    <row r="72" spans="1:42" s="9" customFormat="1">
      <c r="A72" s="11" t="s">
        <v>37</v>
      </c>
      <c r="B72" s="6" t="s">
        <v>100</v>
      </c>
      <c r="C72" s="9">
        <v>996.46167349861116</v>
      </c>
      <c r="D72" s="9">
        <v>1054.0443961357253</v>
      </c>
      <c r="E72" s="9">
        <v>1106.7877944663087</v>
      </c>
      <c r="F72" s="9">
        <v>1156.2955344371042</v>
      </c>
      <c r="G72" s="9">
        <v>1161.0475427411213</v>
      </c>
      <c r="H72" s="9">
        <v>1167.6684625440489</v>
      </c>
      <c r="I72" s="9">
        <v>1150.4083965485772</v>
      </c>
      <c r="J72" s="9">
        <v>1084.194809718367</v>
      </c>
      <c r="K72" s="9">
        <v>1045.7706597583281</v>
      </c>
      <c r="L72" s="9">
        <v>1009.7212304302952</v>
      </c>
      <c r="M72" s="9">
        <v>986.98353609636001</v>
      </c>
      <c r="N72" s="9">
        <v>972.39918488869978</v>
      </c>
      <c r="O72" s="9">
        <v>980.61824691206834</v>
      </c>
      <c r="P72" s="9">
        <v>988.91669154598162</v>
      </c>
      <c r="Q72" s="9">
        <v>1029.6126929096083</v>
      </c>
      <c r="R72" s="9">
        <v>989.20417574558269</v>
      </c>
      <c r="S72" s="9">
        <v>1015.1225966241841</v>
      </c>
      <c r="T72" s="9">
        <v>1008.9010188081797</v>
      </c>
      <c r="U72" s="9">
        <v>1041.9297939950598</v>
      </c>
      <c r="V72" s="9">
        <v>1022.9207469915478</v>
      </c>
      <c r="W72" s="12">
        <v>1038.9229491327001</v>
      </c>
      <c r="X72" s="12">
        <v>1040.9076758017704</v>
      </c>
      <c r="Y72" s="12">
        <v>1042.6299887207697</v>
      </c>
      <c r="Z72" s="12">
        <v>1044.1515416857985</v>
      </c>
      <c r="AA72" s="12">
        <v>1045.5144986244975</v>
      </c>
      <c r="AB72" s="12">
        <v>1046.748975718675</v>
      </c>
      <c r="AC72" s="12">
        <v>1047.8772377099403</v>
      </c>
      <c r="AD72" s="12">
        <v>1048.9162120248398</v>
      </c>
      <c r="AE72" s="12">
        <v>1049.879070378408</v>
      </c>
      <c r="AF72" s="12">
        <v>1050.7762645006176</v>
      </c>
      <c r="AG72" s="12">
        <v>1051.6162276002599</v>
      </c>
      <c r="AH72" s="12">
        <v>1052.4058632394836</v>
      </c>
      <c r="AI72" s="12">
        <v>1053.1508945544883</v>
      </c>
      <c r="AJ72" s="12">
        <v>1053.8561191317406</v>
      </c>
      <c r="AK72" s="12">
        <v>1054.5255985719843</v>
      </c>
      <c r="AL72" s="12">
        <v>1055.1628018559129</v>
      </c>
      <c r="AM72" s="12">
        <v>1055.7707154004679</v>
      </c>
      <c r="AN72" s="12">
        <v>1056.3519286844191</v>
      </c>
      <c r="AO72" s="12">
        <v>1056.9087016773203</v>
      </c>
      <c r="AP72" s="12">
        <v>1057.4430185251044</v>
      </c>
    </row>
    <row r="73" spans="1:42" s="9" customFormat="1">
      <c r="A73" s="11" t="s">
        <v>37</v>
      </c>
      <c r="B73" s="6" t="s">
        <v>101</v>
      </c>
      <c r="C73" s="9">
        <v>1054.1578353516127</v>
      </c>
      <c r="D73" s="9">
        <v>1044.9355723129158</v>
      </c>
      <c r="E73" s="9">
        <v>1059.9594535016454</v>
      </c>
      <c r="F73" s="9">
        <v>1387.2884406620183</v>
      </c>
      <c r="G73" s="9">
        <v>1392.226234938048</v>
      </c>
      <c r="H73" s="9">
        <v>1370.6857551047176</v>
      </c>
      <c r="I73" s="9">
        <v>1335.9105063255652</v>
      </c>
      <c r="J73" s="9">
        <v>1281.1397165459823</v>
      </c>
      <c r="K73" s="9">
        <v>1280.5196590021576</v>
      </c>
      <c r="L73" s="9">
        <v>1252.9302635710085</v>
      </c>
      <c r="M73" s="9">
        <v>1216.3415472939182</v>
      </c>
      <c r="N73" s="9">
        <v>1232.5731601889486</v>
      </c>
      <c r="O73" s="9">
        <v>1194.2954838101775</v>
      </c>
      <c r="P73" s="9">
        <v>1204.1506477071314</v>
      </c>
      <c r="Q73" s="9">
        <v>1215.2374942846991</v>
      </c>
      <c r="R73" s="9">
        <v>1177.81099847058</v>
      </c>
      <c r="S73" s="9">
        <v>1193.2010231692414</v>
      </c>
      <c r="T73" s="9">
        <v>1186.1493645052651</v>
      </c>
      <c r="U73" s="9">
        <v>1167.0508404500408</v>
      </c>
      <c r="V73" s="9">
        <v>1177.6420294217851</v>
      </c>
      <c r="W73" s="12">
        <v>1180.6983656117943</v>
      </c>
      <c r="X73" s="12">
        <v>1180.0723008766713</v>
      </c>
      <c r="Y73" s="12">
        <v>1179.5302472750529</v>
      </c>
      <c r="Z73" s="12">
        <v>1179.0523287879807</v>
      </c>
      <c r="AA73" s="12">
        <v>1178.6249802193745</v>
      </c>
      <c r="AB73" s="12">
        <v>1178.2385298518518</v>
      </c>
      <c r="AC73" s="12">
        <v>1177.885838949976</v>
      </c>
      <c r="AD73" s="12">
        <v>1177.5614880010992</v>
      </c>
      <c r="AE73" s="12">
        <v>1177.26126555575</v>
      </c>
      <c r="AF73" s="12">
        <v>1176.9818339464462</v>
      </c>
      <c r="AG73" s="12">
        <v>1176.7205031731687</v>
      </c>
      <c r="AH73" s="12">
        <v>1176.4750734986683</v>
      </c>
      <c r="AI73" s="12">
        <v>1176.2437231296874</v>
      </c>
      <c r="AJ73" s="12">
        <v>1176.0249263244416</v>
      </c>
      <c r="AK73" s="12">
        <v>1175.8173925427081</v>
      </c>
      <c r="AL73" s="12">
        <v>1175.6200204665779</v>
      </c>
      <c r="AM73" s="12">
        <v>1175.4318627337238</v>
      </c>
      <c r="AN73" s="12">
        <v>1175.2520985212677</v>
      </c>
      <c r="AO73" s="12">
        <v>1175.0800119723904</v>
      </c>
      <c r="AP73" s="12">
        <v>1174.9149750324987</v>
      </c>
    </row>
    <row r="74" spans="1:42" s="9" customFormat="1">
      <c r="A74" s="11" t="s">
        <v>37</v>
      </c>
      <c r="B74" s="6" t="s">
        <v>102</v>
      </c>
      <c r="C74" s="9">
        <v>1019.4499161711027</v>
      </c>
      <c r="D74" s="9">
        <v>1040.9729176000362</v>
      </c>
      <c r="E74" s="9">
        <v>1106.8980978064019</v>
      </c>
      <c r="F74" s="9">
        <v>1245.6645264791221</v>
      </c>
      <c r="G74" s="9">
        <v>1264.8315206611173</v>
      </c>
      <c r="H74" s="9">
        <v>1287.9932534486045</v>
      </c>
      <c r="I74" s="9">
        <v>1272.444769738938</v>
      </c>
      <c r="J74" s="9">
        <v>1221.2380501719563</v>
      </c>
      <c r="K74" s="9">
        <v>1195.5633863607477</v>
      </c>
      <c r="L74" s="9">
        <v>1152.1391745141298</v>
      </c>
      <c r="M74" s="9">
        <v>1119.642573294921</v>
      </c>
      <c r="N74" s="9">
        <v>1131.7234491458687</v>
      </c>
      <c r="O74" s="9">
        <v>1093.0134388895176</v>
      </c>
      <c r="P74" s="9">
        <v>1087.1263395788399</v>
      </c>
      <c r="Q74" s="9">
        <v>1084.0880440255798</v>
      </c>
      <c r="R74" s="9">
        <v>1049.0518129916027</v>
      </c>
      <c r="S74" s="9">
        <v>1057.3090319845639</v>
      </c>
      <c r="T74" s="9">
        <v>1064.8766932409826</v>
      </c>
      <c r="U74" s="9">
        <v>1079.7902591536431</v>
      </c>
      <c r="V74" s="9">
        <v>1044.2179812853603</v>
      </c>
      <c r="W74" s="12">
        <v>1059.8956157751627</v>
      </c>
      <c r="X74" s="12">
        <v>1060.7171337065615</v>
      </c>
      <c r="Y74" s="12">
        <v>1061.429279580607</v>
      </c>
      <c r="Z74" s="12">
        <v>1062.057833613002</v>
      </c>
      <c r="AA74" s="12">
        <v>1062.6204097474401</v>
      </c>
      <c r="AB74" s="12">
        <v>1063.1295784754316</v>
      </c>
      <c r="AC74" s="12">
        <v>1063.5946261371503</v>
      </c>
      <c r="AD74" s="12">
        <v>1064.0226081546737</v>
      </c>
      <c r="AE74" s="12">
        <v>1064.4190111464911</v>
      </c>
      <c r="AF74" s="12">
        <v>1064.7881862441168</v>
      </c>
      <c r="AG74" s="12">
        <v>1065.1336423926132</v>
      </c>
      <c r="AH74" s="12">
        <v>1065.4582506519146</v>
      </c>
      <c r="AI74" s="12">
        <v>1065.7643900635551</v>
      </c>
      <c r="AJ74" s="12">
        <v>1066.0540540606166</v>
      </c>
      <c r="AK74" s="12">
        <v>1066.3289295752541</v>
      </c>
      <c r="AL74" s="12">
        <v>1066.590456842257</v>
      </c>
      <c r="AM74" s="12">
        <v>1066.8398752899345</v>
      </c>
      <c r="AN74" s="12">
        <v>1067.0782592306853</v>
      </c>
      <c r="AO74" s="12">
        <v>1067.3065459568757</v>
      </c>
      <c r="AP74" s="12">
        <v>1067.5255581026731</v>
      </c>
    </row>
    <row r="75" spans="1:42" s="9" customFormat="1">
      <c r="A75" s="11" t="s">
        <v>37</v>
      </c>
      <c r="B75" s="6" t="s">
        <v>103</v>
      </c>
      <c r="C75" s="9">
        <v>1115.8486508447138</v>
      </c>
      <c r="D75" s="9">
        <v>1224.2584507871802</v>
      </c>
      <c r="E75" s="9">
        <v>1248.2894946364502</v>
      </c>
      <c r="F75" s="9">
        <v>1287.4561568540423</v>
      </c>
      <c r="G75" s="9">
        <v>1191.5021189287875</v>
      </c>
      <c r="H75" s="9">
        <v>1320.3042392013633</v>
      </c>
      <c r="I75" s="9">
        <v>1305.965055902911</v>
      </c>
      <c r="J75" s="9">
        <v>1244.7061060905751</v>
      </c>
      <c r="K75" s="9">
        <v>1233.0561905754025</v>
      </c>
      <c r="L75" s="9">
        <v>1141.5600657667496</v>
      </c>
      <c r="M75" s="9">
        <v>1139.8869644760016</v>
      </c>
      <c r="N75" s="9">
        <v>1110.2819283988902</v>
      </c>
      <c r="O75" s="9">
        <v>1115.4507925076746</v>
      </c>
      <c r="P75" s="9">
        <v>1077.794151713219</v>
      </c>
      <c r="Q75" s="9">
        <v>1111.992842573135</v>
      </c>
      <c r="R75" s="9">
        <v>1070.7599163873545</v>
      </c>
      <c r="S75" s="9">
        <v>1094.3519236070174</v>
      </c>
      <c r="T75" s="9">
        <v>1119.742567707146</v>
      </c>
      <c r="U75" s="9">
        <v>1143.8102860392282</v>
      </c>
      <c r="V75" s="9">
        <v>1115.797483626608</v>
      </c>
      <c r="W75" s="12">
        <v>1138.9277571857804</v>
      </c>
      <c r="X75" s="12">
        <v>1144.1356590323339</v>
      </c>
      <c r="Y75" s="12">
        <v>1148.6661937371846</v>
      </c>
      <c r="Z75" s="12">
        <v>1152.6772972783667</v>
      </c>
      <c r="AA75" s="12">
        <v>1156.2772188384438</v>
      </c>
      <c r="AB75" s="12">
        <v>1159.5434284084961</v>
      </c>
      <c r="AC75" s="12">
        <v>1162.5332996920108</v>
      </c>
      <c r="AD75" s="12">
        <v>1165.2905221105118</v>
      </c>
      <c r="AE75" s="12">
        <v>1167.8491410875231</v>
      </c>
      <c r="AF75" s="12">
        <v>1170.2362077894609</v>
      </c>
      <c r="AG75" s="12">
        <v>1172.4735761551283</v>
      </c>
      <c r="AH75" s="12">
        <v>1174.579156886738</v>
      </c>
      <c r="AI75" s="12">
        <v>1176.5678142713884</v>
      </c>
      <c r="AJ75" s="12">
        <v>1178.4520214375275</v>
      </c>
      <c r="AK75" s="12">
        <v>1180.2423482033821</v>
      </c>
      <c r="AL75" s="12">
        <v>1181.9478303908304</v>
      </c>
      <c r="AM75" s="12">
        <v>1183.5762535937829</v>
      </c>
      <c r="AN75" s="12">
        <v>1185.1343741469307</v>
      </c>
      <c r="AO75" s="12">
        <v>1186.6280932797936</v>
      </c>
      <c r="AP75" s="12">
        <v>1188.06259588432</v>
      </c>
    </row>
    <row r="76" spans="1:42" s="9" customFormat="1">
      <c r="A76" s="11" t="s">
        <v>37</v>
      </c>
      <c r="B76" s="6" t="s">
        <v>104</v>
      </c>
      <c r="C76" s="9">
        <v>1103.0537826712593</v>
      </c>
      <c r="D76" s="9">
        <v>1105.1075681666284</v>
      </c>
      <c r="E76" s="9">
        <v>1126.6817600336833</v>
      </c>
      <c r="F76" s="9">
        <v>1303.9490056905238</v>
      </c>
      <c r="G76" s="9">
        <v>1292.2288883440078</v>
      </c>
      <c r="H76" s="9">
        <v>1338.4120649479516</v>
      </c>
      <c r="I76" s="9">
        <v>1310.5550655327008</v>
      </c>
      <c r="J76" s="9">
        <v>1265.0917753956317</v>
      </c>
      <c r="K76" s="9">
        <v>1237.3372539482757</v>
      </c>
      <c r="L76" s="9">
        <v>1155.9020298006969</v>
      </c>
      <c r="M76" s="9">
        <v>1154.5963866471056</v>
      </c>
      <c r="N76" s="9">
        <v>1134.5014286855699</v>
      </c>
      <c r="O76" s="9">
        <v>1125.2895007667159</v>
      </c>
      <c r="P76" s="9">
        <v>1088.0789892233338</v>
      </c>
      <c r="Q76" s="9">
        <v>1124.6172880442555</v>
      </c>
      <c r="R76" s="9">
        <v>1081.8018309641868</v>
      </c>
      <c r="S76" s="9">
        <v>1095.7958118840727</v>
      </c>
      <c r="T76" s="9">
        <v>1104.5841293668602</v>
      </c>
      <c r="U76" s="9">
        <v>1127.6611920839052</v>
      </c>
      <c r="V76" s="9">
        <v>1096.8684017293826</v>
      </c>
      <c r="W76" s="12">
        <v>1115.1661528384197</v>
      </c>
      <c r="X76" s="12">
        <v>1118.0440348924819</v>
      </c>
      <c r="Y76" s="12">
        <v>1120.5429722147085</v>
      </c>
      <c r="Z76" s="12">
        <v>1122.7518268662643</v>
      </c>
      <c r="AA76" s="12">
        <v>1124.7314039692676</v>
      </c>
      <c r="AB76" s="12">
        <v>1126.5251558726084</v>
      </c>
      <c r="AC76" s="12">
        <v>1128.1652208812211</v>
      </c>
      <c r="AD76" s="12">
        <v>1129.6760428774364</v>
      </c>
      <c r="AE76" s="12">
        <v>1131.0766493126953</v>
      </c>
      <c r="AF76" s="12">
        <v>1132.3821435273819</v>
      </c>
      <c r="AG76" s="12">
        <v>1133.6047157976061</v>
      </c>
      <c r="AH76" s="12">
        <v>1134.7543481925807</v>
      </c>
      <c r="AI76" s="12">
        <v>1135.839318228396</v>
      </c>
      <c r="AJ76" s="12">
        <v>1136.8665665576625</v>
      </c>
      <c r="AK76" s="12">
        <v>1137.8419705093827</v>
      </c>
      <c r="AL76" s="12">
        <v>1138.7705510154633</v>
      </c>
      <c r="AM76" s="12">
        <v>1139.6566314969746</v>
      </c>
      <c r="AN76" s="12">
        <v>1140.5039615073651</v>
      </c>
      <c r="AO76" s="12">
        <v>1141.3158141201125</v>
      </c>
      <c r="AP76" s="12">
        <v>1142.0950634822766</v>
      </c>
    </row>
    <row r="77" spans="1:42" s="9" customFormat="1">
      <c r="A77" s="11" t="s">
        <v>37</v>
      </c>
      <c r="B77" s="6" t="s">
        <v>105</v>
      </c>
      <c r="C77" s="9">
        <v>1152.6351357654482</v>
      </c>
      <c r="D77" s="9">
        <v>1126.0100547149727</v>
      </c>
      <c r="E77" s="9">
        <v>1207.1381305363782</v>
      </c>
      <c r="F77" s="9">
        <v>1257.8335342167891</v>
      </c>
      <c r="G77" s="9">
        <v>1267.3660637506309</v>
      </c>
      <c r="H77" s="9">
        <v>1282.1783302632227</v>
      </c>
      <c r="I77" s="9">
        <v>1258.2705837175624</v>
      </c>
      <c r="J77" s="9">
        <v>1221.6358234962649</v>
      </c>
      <c r="K77" s="9">
        <v>1217.4037521859166</v>
      </c>
      <c r="L77" s="9">
        <v>1209.4292430698315</v>
      </c>
      <c r="M77" s="9">
        <v>1153.7454020381629</v>
      </c>
      <c r="N77" s="9">
        <v>1173.066210975941</v>
      </c>
      <c r="O77" s="9">
        <v>1143.9426918178328</v>
      </c>
      <c r="P77" s="9">
        <v>1153.7394565720315</v>
      </c>
      <c r="Q77" s="9">
        <v>1176.3389930943783</v>
      </c>
      <c r="R77" s="9">
        <v>1164.4573712287961</v>
      </c>
      <c r="S77" s="9">
        <v>1170.3894148020993</v>
      </c>
      <c r="T77" s="9">
        <v>1189.8153506844876</v>
      </c>
      <c r="U77" s="9">
        <v>1165.1305798546302</v>
      </c>
      <c r="V77" s="9">
        <v>1163.957660075725</v>
      </c>
      <c r="W77" s="12">
        <v>1173.098253233755</v>
      </c>
      <c r="X77" s="12">
        <v>1172.3885349213799</v>
      </c>
      <c r="Y77" s="12">
        <v>1171.7740960313279</v>
      </c>
      <c r="Z77" s="12">
        <v>1171.2323898198097</v>
      </c>
      <c r="AA77" s="12">
        <v>1170.7480293072574</v>
      </c>
      <c r="AB77" s="12">
        <v>1170.3100444858094</v>
      </c>
      <c r="AC77" s="12">
        <v>1169.9103387465764</v>
      </c>
      <c r="AD77" s="12">
        <v>1169.5427656635736</v>
      </c>
      <c r="AE77" s="12">
        <v>1169.2025491058052</v>
      </c>
      <c r="AF77" s="12">
        <v>1168.8859040259251</v>
      </c>
      <c r="AG77" s="12">
        <v>1168.5897799639042</v>
      </c>
      <c r="AH77" s="12">
        <v>1168.311682499042</v>
      </c>
      <c r="AI77" s="12">
        <v>1168.0495458482435</v>
      </c>
      <c r="AJ77" s="12">
        <v>1167.8016399792746</v>
      </c>
      <c r="AK77" s="12">
        <v>1167.5665015936358</v>
      </c>
      <c r="AL77" s="12">
        <v>1167.3428819774513</v>
      </c>
      <c r="AM77" s="12">
        <v>1167.1297070034011</v>
      </c>
      <c r="AN77" s="12">
        <v>1166.9260460372395</v>
      </c>
      <c r="AO77" s="12">
        <v>1166.7310874713235</v>
      </c>
      <c r="AP77" s="12">
        <v>1166.5441192594621</v>
      </c>
    </row>
    <row r="78" spans="1:42" s="9" customFormat="1">
      <c r="A78" s="11" t="s">
        <v>37</v>
      </c>
      <c r="B78" s="6" t="s">
        <v>106</v>
      </c>
      <c r="C78" s="9">
        <v>1038.064735563361</v>
      </c>
      <c r="D78" s="9">
        <v>1079.7735609572862</v>
      </c>
      <c r="E78" s="9">
        <v>1121.50632698354</v>
      </c>
      <c r="F78" s="9">
        <v>1312.5891358046092</v>
      </c>
      <c r="G78" s="9">
        <v>1332.7721005640853</v>
      </c>
      <c r="H78" s="9">
        <v>1317.4056400324737</v>
      </c>
      <c r="I78" s="9">
        <v>1258.6917661159468</v>
      </c>
      <c r="J78" s="9">
        <v>1212.4034877489607</v>
      </c>
      <c r="K78" s="9">
        <v>1223.0646226912024</v>
      </c>
      <c r="L78" s="9">
        <v>1196.8861108388448</v>
      </c>
      <c r="M78" s="9">
        <v>1151.0983104411807</v>
      </c>
      <c r="N78" s="9">
        <v>1162.3874181757324</v>
      </c>
      <c r="O78" s="9">
        <v>1140.5276825993647</v>
      </c>
      <c r="P78" s="9">
        <v>1121.9375130719113</v>
      </c>
      <c r="Q78" s="9">
        <v>1116.7109477492324</v>
      </c>
      <c r="R78" s="9">
        <v>1092.5639676004432</v>
      </c>
      <c r="S78" s="9">
        <v>1106.0075426460112</v>
      </c>
      <c r="T78" s="9">
        <v>1081.1761025286207</v>
      </c>
      <c r="U78" s="9">
        <v>1088.8584329998948</v>
      </c>
      <c r="V78" s="9">
        <v>1070.9776600035043</v>
      </c>
      <c r="W78" s="12">
        <v>1079.911506136106</v>
      </c>
      <c r="X78" s="12">
        <v>1078.0770524868976</v>
      </c>
      <c r="Y78" s="12">
        <v>1076.4904954868805</v>
      </c>
      <c r="Z78" s="12">
        <v>1075.0929911955961</v>
      </c>
      <c r="AA78" s="12">
        <v>1073.8444183934321</v>
      </c>
      <c r="AB78" s="12">
        <v>1072.7161961159543</v>
      </c>
      <c r="AC78" s="12">
        <v>1071.6872449368611</v>
      </c>
      <c r="AD78" s="12">
        <v>1070.7415731985975</v>
      </c>
      <c r="AE78" s="12">
        <v>1069.8667619008772</v>
      </c>
      <c r="AF78" s="12">
        <v>1069.0529745164006</v>
      </c>
      <c r="AG78" s="12">
        <v>1068.2922876123616</v>
      </c>
      <c r="AH78" s="12">
        <v>1067.5782251359396</v>
      </c>
      <c r="AI78" s="12">
        <v>1066.9054262675163</v>
      </c>
      <c r="AJ78" s="12">
        <v>1066.2694033667781</v>
      </c>
      <c r="AK78" s="12">
        <v>1065.6663621971259</v>
      </c>
      <c r="AL78" s="12">
        <v>1065.0930661422135</v>
      </c>
      <c r="AM78" s="12">
        <v>1064.5467321002557</v>
      </c>
      <c r="AN78" s="12">
        <v>1064.0249495839942</v>
      </c>
      <c r="AO78" s="12">
        <v>1063.5256170847833</v>
      </c>
      <c r="AP78" s="12">
        <v>1063.0468914613505</v>
      </c>
    </row>
    <row r="79" spans="1:42" s="9" customFormat="1">
      <c r="A79" s="11" t="s">
        <v>37</v>
      </c>
      <c r="B79" s="6" t="s">
        <v>107</v>
      </c>
      <c r="C79" s="9">
        <v>879.15617036439903</v>
      </c>
      <c r="D79" s="9">
        <v>879.49403333025907</v>
      </c>
      <c r="E79" s="9">
        <v>920.07561374721831</v>
      </c>
      <c r="F79" s="9">
        <v>930.47100103319417</v>
      </c>
      <c r="G79" s="9">
        <v>938.48396718264917</v>
      </c>
      <c r="H79" s="9">
        <v>923.85497767436505</v>
      </c>
      <c r="I79" s="9">
        <v>906.06192682381152</v>
      </c>
      <c r="J79" s="9">
        <v>865.46367535515958</v>
      </c>
      <c r="K79" s="9">
        <v>840.32929137085227</v>
      </c>
      <c r="L79" s="9">
        <v>824.27594263377568</v>
      </c>
      <c r="M79" s="9">
        <v>796.99250199999369</v>
      </c>
      <c r="N79" s="9">
        <v>773.56482556275591</v>
      </c>
      <c r="O79" s="9">
        <v>754.87802887085468</v>
      </c>
      <c r="P79" s="9">
        <v>745.58996318450954</v>
      </c>
      <c r="Q79" s="9">
        <v>790.90732079335419</v>
      </c>
      <c r="R79" s="9">
        <v>760.17787421679282</v>
      </c>
      <c r="S79" s="9">
        <v>769.20683805074748</v>
      </c>
      <c r="T79" s="9">
        <v>757.55513935790611</v>
      </c>
      <c r="U79" s="9">
        <v>801.95741012730321</v>
      </c>
      <c r="V79" s="9">
        <v>775.7376744870835</v>
      </c>
      <c r="W79" s="12">
        <v>788.77625839678126</v>
      </c>
      <c r="X79" s="12">
        <v>791.22375589523892</v>
      </c>
      <c r="Y79" s="12">
        <v>793.35001236732046</v>
      </c>
      <c r="Z79" s="12">
        <v>795.23024579866558</v>
      </c>
      <c r="AA79" s="12">
        <v>796.91594754508958</v>
      </c>
      <c r="AB79" s="12">
        <v>798.44392831970072</v>
      </c>
      <c r="AC79" s="12">
        <v>799.84142350019431</v>
      </c>
      <c r="AD79" s="12">
        <v>801.12915434135948</v>
      </c>
      <c r="AE79" s="12">
        <v>802.32325515060245</v>
      </c>
      <c r="AF79" s="12">
        <v>803.43653615442531</v>
      </c>
      <c r="AG79" s="12">
        <v>804.47933931927753</v>
      </c>
      <c r="AH79" s="12">
        <v>805.46013513975527</v>
      </c>
      <c r="AI79" s="12">
        <v>806.38594916995498</v>
      </c>
      <c r="AJ79" s="12">
        <v>807.26267347729936</v>
      </c>
      <c r="AK79" s="12">
        <v>808.09529839301229</v>
      </c>
      <c r="AL79" s="12">
        <v>808.88808785931712</v>
      </c>
      <c r="AM79" s="12">
        <v>809.64471409212319</v>
      </c>
      <c r="AN79" s="12">
        <v>810.36836239167974</v>
      </c>
      <c r="AO79" s="12">
        <v>811.0618137101726</v>
      </c>
      <c r="AP79" s="12">
        <v>811.72751041369486</v>
      </c>
    </row>
    <row r="80" spans="1:42" s="9" customFormat="1">
      <c r="A80" s="11" t="s">
        <v>37</v>
      </c>
      <c r="B80" s="6" t="s">
        <v>108</v>
      </c>
      <c r="C80" s="9">
        <v>1098.3012411297993</v>
      </c>
      <c r="D80" s="9">
        <v>1189.9385696841573</v>
      </c>
      <c r="E80" s="9">
        <v>1215.6620623469862</v>
      </c>
      <c r="F80" s="9">
        <v>1336.2690271414731</v>
      </c>
      <c r="G80" s="9">
        <v>1336.6501908550617</v>
      </c>
      <c r="H80" s="9">
        <v>1350.3808829147333</v>
      </c>
      <c r="I80" s="9">
        <v>1337.7881183992154</v>
      </c>
      <c r="J80" s="9">
        <v>1290.5079833617838</v>
      </c>
      <c r="K80" s="9">
        <v>1259.9367041698208</v>
      </c>
      <c r="L80" s="9">
        <v>1204.0428052792251</v>
      </c>
      <c r="M80" s="9">
        <v>1177.0039969651129</v>
      </c>
      <c r="N80" s="9">
        <v>1160.9126325576092</v>
      </c>
      <c r="O80" s="9">
        <v>1140.0807301292521</v>
      </c>
      <c r="P80" s="9">
        <v>1120.687537189787</v>
      </c>
      <c r="Q80" s="9">
        <v>1148.7330341517677</v>
      </c>
      <c r="R80" s="9">
        <v>1112.5093949699285</v>
      </c>
      <c r="S80" s="9">
        <v>1122.3744116952046</v>
      </c>
      <c r="T80" s="9">
        <v>1130.4067486280885</v>
      </c>
      <c r="U80" s="9">
        <v>1131.8828257146797</v>
      </c>
      <c r="V80" s="9">
        <v>1123.0928293278896</v>
      </c>
      <c r="W80" s="12">
        <v>1133.5689039246172</v>
      </c>
      <c r="X80" s="12">
        <v>1135.1261795054622</v>
      </c>
      <c r="Y80" s="12">
        <v>1136.4768821187215</v>
      </c>
      <c r="Z80" s="12">
        <v>1137.6696202672474</v>
      </c>
      <c r="AA80" s="12">
        <v>1138.7376215682882</v>
      </c>
      <c r="AB80" s="12">
        <v>1139.7046099412007</v>
      </c>
      <c r="AC80" s="12">
        <v>1140.5881181515651</v>
      </c>
      <c r="AD80" s="12">
        <v>1141.4014717259145</v>
      </c>
      <c r="AE80" s="12">
        <v>1142.1550365965309</v>
      </c>
      <c r="AF80" s="12">
        <v>1142.8570358875813</v>
      </c>
      <c r="AG80" s="12">
        <v>1143.5141029457452</v>
      </c>
      <c r="AH80" s="12">
        <v>1144.1316666684495</v>
      </c>
      <c r="AI80" s="12">
        <v>1144.7142266925814</v>
      </c>
      <c r="AJ80" s="12">
        <v>1145.2655541945655</v>
      </c>
      <c r="AK80" s="12">
        <v>1145.788841204253</v>
      </c>
      <c r="AL80" s="12">
        <v>1146.2868135076412</v>
      </c>
      <c r="AM80" s="12">
        <v>1146.761817301883</v>
      </c>
      <c r="AN80" s="12">
        <v>1147.215886602429</v>
      </c>
      <c r="AO80" s="12">
        <v>1147.6507963163406</v>
      </c>
      <c r="AP80" s="12">
        <v>1148.0681044914695</v>
      </c>
    </row>
    <row r="81" spans="1:42" s="9" customFormat="1">
      <c r="A81" s="11" t="s">
        <v>37</v>
      </c>
      <c r="B81" s="6" t="s">
        <v>109</v>
      </c>
      <c r="C81" s="9">
        <v>964.04673613047521</v>
      </c>
      <c r="D81" s="9">
        <v>993.89131601246061</v>
      </c>
      <c r="E81" s="9">
        <v>1005.8629435500544</v>
      </c>
      <c r="F81" s="9">
        <v>1090.3548056158133</v>
      </c>
      <c r="G81" s="9">
        <v>1179.205455228989</v>
      </c>
      <c r="H81" s="9">
        <v>1173.4416119399216</v>
      </c>
      <c r="I81" s="9">
        <v>1140.3619182608834</v>
      </c>
      <c r="J81" s="9">
        <v>1136.7775330376894</v>
      </c>
      <c r="K81" s="9">
        <v>1137.8891653291012</v>
      </c>
      <c r="L81" s="9">
        <v>1106.7176974115355</v>
      </c>
      <c r="M81" s="9">
        <v>1060.9461544818678</v>
      </c>
      <c r="N81" s="9">
        <v>1067.7499270876549</v>
      </c>
      <c r="O81" s="9">
        <v>1043.9778783269185</v>
      </c>
      <c r="P81" s="9">
        <v>1011.8706522331147</v>
      </c>
      <c r="Q81" s="9">
        <v>1020.5963772666275</v>
      </c>
      <c r="R81" s="9">
        <v>988.14407210380648</v>
      </c>
      <c r="S81" s="9">
        <v>1008.9181065495932</v>
      </c>
      <c r="T81" s="9">
        <v>975.87041659009822</v>
      </c>
      <c r="U81" s="9">
        <v>989.29670011216649</v>
      </c>
      <c r="V81" s="9">
        <v>974.30922846971873</v>
      </c>
      <c r="W81" s="12">
        <v>983.6355462816615</v>
      </c>
      <c r="X81" s="12">
        <v>982.12825625063726</v>
      </c>
      <c r="Y81" s="12">
        <v>980.82444932277417</v>
      </c>
      <c r="Z81" s="12">
        <v>979.67584686909026</v>
      </c>
      <c r="AA81" s="12">
        <v>978.64952677352005</v>
      </c>
      <c r="AB81" s="12">
        <v>977.72203358038598</v>
      </c>
      <c r="AC81" s="12">
        <v>976.87606619398184</v>
      </c>
      <c r="AD81" s="12">
        <v>976.09849803283441</v>
      </c>
      <c r="AE81" s="12">
        <v>975.37913416291963</v>
      </c>
      <c r="AF81" s="12">
        <v>974.70989896022377</v>
      </c>
      <c r="AG81" s="12">
        <v>974.08428691224606</v>
      </c>
      <c r="AH81" s="12">
        <v>973.49698048749451</v>
      </c>
      <c r="AI81" s="12">
        <v>972.94357758060698</v>
      </c>
      <c r="AJ81" s="12">
        <v>972.42039287273678</v>
      </c>
      <c r="AK81" s="12">
        <v>971.92431029059674</v>
      </c>
      <c r="AL81" s="12">
        <v>971.4526715628449</v>
      </c>
      <c r="AM81" s="12">
        <v>971.0031907709174</v>
      </c>
      <c r="AN81" s="12">
        <v>970.57388794326005</v>
      </c>
      <c r="AO81" s="12">
        <v>970.16303681787781</v>
      </c>
      <c r="AP81" s="12">
        <v>969.76912329451557</v>
      </c>
    </row>
    <row r="82" spans="1:42" s="9" customFormat="1">
      <c r="A82" s="11" t="s">
        <v>37</v>
      </c>
      <c r="B82" s="6" t="s">
        <v>110</v>
      </c>
      <c r="C82" s="9">
        <v>879.17394783443842</v>
      </c>
      <c r="D82" s="9">
        <v>953.72333902520654</v>
      </c>
      <c r="E82" s="9">
        <v>973.96877230365851</v>
      </c>
      <c r="F82" s="9">
        <v>1260.8259515227671</v>
      </c>
      <c r="G82" s="9">
        <v>1317.8620473415262</v>
      </c>
      <c r="H82" s="9">
        <v>1300.9455005999102</v>
      </c>
      <c r="I82" s="9">
        <v>1273.8486282339322</v>
      </c>
      <c r="J82" s="9">
        <v>1222.2499152191892</v>
      </c>
      <c r="K82" s="9">
        <v>1217.5454586947956</v>
      </c>
      <c r="L82" s="9">
        <v>1195.7837722574425</v>
      </c>
      <c r="M82" s="9">
        <v>1154.807964303578</v>
      </c>
      <c r="N82" s="9">
        <v>1174.0013001509533</v>
      </c>
      <c r="O82" s="9">
        <v>1145.6404749381145</v>
      </c>
      <c r="P82" s="9">
        <v>1134.9021772648673</v>
      </c>
      <c r="Q82" s="9">
        <v>1138.0949033519121</v>
      </c>
      <c r="R82" s="9">
        <v>1113.4115892549075</v>
      </c>
      <c r="S82" s="9">
        <v>1134.2350046998704</v>
      </c>
      <c r="T82" s="9">
        <v>1124.2952586023978</v>
      </c>
      <c r="U82" s="9">
        <v>1106.8897040255749</v>
      </c>
      <c r="V82" s="9">
        <v>1115.2954096080186</v>
      </c>
      <c r="W82" s="12">
        <v>1120.3890296398713</v>
      </c>
      <c r="X82" s="12">
        <v>1119.9812360459332</v>
      </c>
      <c r="Y82" s="12">
        <v>1119.6281091431867</v>
      </c>
      <c r="Z82" s="12">
        <v>1119.3167215588296</v>
      </c>
      <c r="AA82" s="12">
        <v>1119.0382492566343</v>
      </c>
      <c r="AB82" s="12">
        <v>1118.7864001006494</v>
      </c>
      <c r="AC82" s="12">
        <v>1118.5565293281097</v>
      </c>
      <c r="AD82" s="12">
        <v>1118.345110423895</v>
      </c>
      <c r="AE82" s="12">
        <v>1118.1494027184679</v>
      </c>
      <c r="AF82" s="12">
        <v>1117.9672339878944</v>
      </c>
      <c r="AG82" s="12">
        <v>1117.7968533875667</v>
      </c>
      <c r="AH82" s="12">
        <v>1117.6368290671303</v>
      </c>
      <c r="AI82" s="12">
        <v>1117.485975106523</v>
      </c>
      <c r="AJ82" s="12">
        <v>1117.3432982407946</v>
      </c>
      <c r="AK82" s="12">
        <v>1117.2079582716406</v>
      </c>
      <c r="AL82" s="12">
        <v>1117.0792381518504</v>
      </c>
      <c r="AM82" s="12">
        <v>1116.9565210383403</v>
      </c>
      <c r="AN82" s="12">
        <v>1116.8392724523467</v>
      </c>
      <c r="AO82" s="12">
        <v>1116.7270262407981</v>
      </c>
      <c r="AP82" s="12">
        <v>1116.6193734065944</v>
      </c>
    </row>
    <row r="83" spans="1:42" s="9" customFormat="1">
      <c r="A83" s="11" t="s">
        <v>37</v>
      </c>
      <c r="B83" s="6" t="s">
        <v>111</v>
      </c>
      <c r="C83" s="9">
        <v>1651.7482884999972</v>
      </c>
      <c r="D83" s="9">
        <v>1646.6279988333065</v>
      </c>
      <c r="E83" s="9">
        <v>1678.5313083000613</v>
      </c>
      <c r="F83" s="9">
        <v>1785.6654140833155</v>
      </c>
      <c r="G83" s="9">
        <v>1373.4767768138311</v>
      </c>
      <c r="H83" s="9">
        <v>1355.2687215035505</v>
      </c>
      <c r="I83" s="9">
        <v>1329.9502493592718</v>
      </c>
      <c r="J83" s="9">
        <v>1274.9323575085452</v>
      </c>
      <c r="K83" s="9">
        <v>1266.2750870991492</v>
      </c>
      <c r="L83" s="9">
        <v>1246.1257624339055</v>
      </c>
      <c r="M83" s="9">
        <v>1189.7038169602938</v>
      </c>
      <c r="N83" s="9">
        <v>1214.3776525163671</v>
      </c>
      <c r="O83" s="9">
        <v>1186.5461892649223</v>
      </c>
      <c r="P83" s="9">
        <v>1178.00289720931</v>
      </c>
      <c r="Q83" s="9">
        <v>1169.6267423556794</v>
      </c>
      <c r="R83" s="9">
        <v>1140.4168436621271</v>
      </c>
      <c r="S83" s="9">
        <v>1160.8260477963847</v>
      </c>
      <c r="T83" s="9">
        <v>1133.626587712311</v>
      </c>
      <c r="U83" s="9">
        <v>1121.1411134488319</v>
      </c>
      <c r="V83" s="9">
        <v>1133.8334828282207</v>
      </c>
      <c r="W83" s="12">
        <v>1134.3354423235144</v>
      </c>
      <c r="X83" s="12">
        <v>1132.6732020921543</v>
      </c>
      <c r="Y83" s="12">
        <v>1131.2352731274141</v>
      </c>
      <c r="Z83" s="12">
        <v>1129.9684451807113</v>
      </c>
      <c r="AA83" s="12">
        <v>1128.8364311377475</v>
      </c>
      <c r="AB83" s="12">
        <v>1127.8133768608509</v>
      </c>
      <c r="AC83" s="12">
        <v>1126.8802111049613</v>
      </c>
      <c r="AD83" s="12">
        <v>1126.0224636703954</v>
      </c>
      <c r="AE83" s="12">
        <v>1125.2288956713312</v>
      </c>
      <c r="AF83" s="12">
        <v>1124.4906042460366</v>
      </c>
      <c r="AG83" s="12">
        <v>1123.8004172557917</v>
      </c>
      <c r="AH83" s="12">
        <v>1123.1524721049775</v>
      </c>
      <c r="AI83" s="12">
        <v>1122.5419153252785</v>
      </c>
      <c r="AJ83" s="12">
        <v>1121.9646836247953</v>
      </c>
      <c r="AK83" s="12">
        <v>1121.4173412565215</v>
      </c>
      <c r="AL83" s="12">
        <v>1120.8969571732</v>
      </c>
      <c r="AM83" s="12">
        <v>1120.4010108338739</v>
      </c>
      <c r="AN83" s="12">
        <v>1119.9273190009924</v>
      </c>
      <c r="AO83" s="12">
        <v>1119.4739781548637</v>
      </c>
      <c r="AP83" s="12">
        <v>1119.039318691234</v>
      </c>
    </row>
    <row r="84" spans="1:42" s="9" customFormat="1">
      <c r="A84" s="11" t="s">
        <v>37</v>
      </c>
      <c r="B84" s="6" t="s">
        <v>112</v>
      </c>
      <c r="C84" s="9">
        <v>779.3677591657073</v>
      </c>
      <c r="D84" s="9">
        <v>918.1644601189804</v>
      </c>
      <c r="E84" s="9">
        <v>969.04030310602411</v>
      </c>
      <c r="F84" s="9">
        <v>998.65062619871014</v>
      </c>
      <c r="G84" s="9">
        <v>1007.8659330983699</v>
      </c>
      <c r="H84" s="9">
        <v>999.61219809966519</v>
      </c>
      <c r="I84" s="9">
        <v>985.78857960316782</v>
      </c>
      <c r="J84" s="9">
        <v>940.17770998583796</v>
      </c>
      <c r="K84" s="9">
        <v>915.97822611956565</v>
      </c>
      <c r="L84" s="9">
        <v>899.96524098858583</v>
      </c>
      <c r="M84" s="9">
        <v>869.27283222723383</v>
      </c>
      <c r="N84" s="9">
        <v>867.45759458607142</v>
      </c>
      <c r="O84" s="9">
        <v>857.78165660499201</v>
      </c>
      <c r="P84" s="9">
        <v>850.71893449587435</v>
      </c>
      <c r="Q84" s="9">
        <v>868.53667963684893</v>
      </c>
      <c r="R84" s="9">
        <v>839.23076013748448</v>
      </c>
      <c r="S84" s="9">
        <v>853.21002105535115</v>
      </c>
      <c r="T84" s="9">
        <v>886.8317117336702</v>
      </c>
      <c r="U84" s="9">
        <v>837.28569803124287</v>
      </c>
      <c r="V84" s="9">
        <v>846.60497954467644</v>
      </c>
      <c r="W84" s="12">
        <v>857.61559740622079</v>
      </c>
      <c r="X84" s="12">
        <v>858.35927259086316</v>
      </c>
      <c r="Y84" s="12">
        <v>859.00399457128333</v>
      </c>
      <c r="Z84" s="12">
        <v>859.57308160592845</v>
      </c>
      <c r="AA84" s="12">
        <v>860.08246676705687</v>
      </c>
      <c r="AB84" s="12">
        <v>860.54352173506879</v>
      </c>
      <c r="AC84" s="12">
        <v>860.96464774963556</v>
      </c>
      <c r="AD84" s="12">
        <v>861.35222811738527</v>
      </c>
      <c r="AE84" s="12">
        <v>861.7112270391475</v>
      </c>
      <c r="AF84" s="12">
        <v>862.04558152876803</v>
      </c>
      <c r="AG84" s="12">
        <v>862.35846670508613</v>
      </c>
      <c r="AH84" s="12">
        <v>862.6524805916996</v>
      </c>
      <c r="AI84" s="12">
        <v>862.92977606536761</v>
      </c>
      <c r="AJ84" s="12">
        <v>863.19215711617539</v>
      </c>
      <c r="AK84" s="12">
        <v>863.44115041204032</v>
      </c>
      <c r="AL84" s="12">
        <v>863.67805940173639</v>
      </c>
      <c r="AM84" s="12">
        <v>863.90400583273026</v>
      </c>
      <c r="AN84" s="12">
        <v>864.11996204169236</v>
      </c>
      <c r="AO84" s="12">
        <v>864.3267763745514</v>
      </c>
      <c r="AP84" s="12">
        <v>864.52519341916388</v>
      </c>
    </row>
    <row r="85" spans="1:42" s="9" customFormat="1">
      <c r="A85" s="11" t="s">
        <v>37</v>
      </c>
      <c r="B85" s="6" t="s">
        <v>113</v>
      </c>
      <c r="C85" s="9">
        <v>1417.4528690378513</v>
      </c>
      <c r="D85" s="9">
        <v>1404.6590439782328</v>
      </c>
      <c r="E85" s="9">
        <v>1436.9468443649721</v>
      </c>
      <c r="F85" s="9">
        <v>1444.8629472746015</v>
      </c>
      <c r="G85" s="9">
        <v>1439.9409619785947</v>
      </c>
      <c r="H85" s="9">
        <v>1433.9852225421869</v>
      </c>
      <c r="I85" s="9">
        <v>1367.7463670843008</v>
      </c>
      <c r="J85" s="9">
        <v>1312.4484660976316</v>
      </c>
      <c r="K85" s="9">
        <v>1320.9266534321064</v>
      </c>
      <c r="L85" s="9">
        <v>1290.2941195535213</v>
      </c>
      <c r="M85" s="9">
        <v>1230.6955406659558</v>
      </c>
      <c r="N85" s="9">
        <v>1268.399270550751</v>
      </c>
      <c r="O85" s="9">
        <v>1225.6446882711425</v>
      </c>
      <c r="P85" s="9">
        <v>1226.365052176578</v>
      </c>
      <c r="Q85" s="9">
        <v>1248.8669098808148</v>
      </c>
      <c r="R85" s="9">
        <v>1219.2268082499552</v>
      </c>
      <c r="S85" s="9">
        <v>1231.5270637424767</v>
      </c>
      <c r="T85" s="9">
        <v>1225.2622697039251</v>
      </c>
      <c r="U85" s="9">
        <v>1219.4905225790237</v>
      </c>
      <c r="V85" s="9">
        <v>1227.650335797581</v>
      </c>
      <c r="W85" s="12">
        <v>1228.9127172512642</v>
      </c>
      <c r="X85" s="12">
        <v>1229.2766293418149</v>
      </c>
      <c r="Y85" s="12">
        <v>1229.5919514379891</v>
      </c>
      <c r="Z85" s="12">
        <v>1229.870152374767</v>
      </c>
      <c r="AA85" s="12">
        <v>1230.1190649287166</v>
      </c>
      <c r="AB85" s="12">
        <v>1230.3442771208991</v>
      </c>
      <c r="AC85" s="12">
        <v>1230.5499157468917</v>
      </c>
      <c r="AD85" s="12">
        <v>1230.7391152964958</v>
      </c>
      <c r="AE85" s="12">
        <v>1230.9143126532629</v>
      </c>
      <c r="AF85" s="12">
        <v>1231.0774399071183</v>
      </c>
      <c r="AG85" s="12">
        <v>1231.2300548320468</v>
      </c>
      <c r="AH85" s="12">
        <v>1231.3734317509347</v>
      </c>
      <c r="AI85" s="12">
        <v>1231.5086263973885</v>
      </c>
      <c r="AJ85" s="12">
        <v>1231.6365232231465</v>
      </c>
      <c r="AK85" s="12">
        <v>1231.7578705609412</v>
      </c>
      <c r="AL85" s="12">
        <v>1231.8733072021944</v>
      </c>
      <c r="AM85" s="12">
        <v>1231.9833827883151</v>
      </c>
      <c r="AN85" s="12">
        <v>1232.0885736670652</v>
      </c>
      <c r="AO85" s="12">
        <v>1232.1892953729414</v>
      </c>
      <c r="AP85" s="12">
        <v>1232.2859125590389</v>
      </c>
    </row>
    <row r="86" spans="1:42" s="9" customFormat="1">
      <c r="A86" s="11" t="s">
        <v>37</v>
      </c>
      <c r="B86" s="6" t="s">
        <v>114</v>
      </c>
      <c r="C86" s="9">
        <v>1019.7816209219052</v>
      </c>
      <c r="D86" s="9">
        <v>1073.7892415132128</v>
      </c>
      <c r="E86" s="9">
        <v>1097.977754487925</v>
      </c>
      <c r="F86" s="9">
        <v>1171.7315344488914</v>
      </c>
      <c r="G86" s="9">
        <v>1176.5853907253909</v>
      </c>
      <c r="H86" s="9">
        <v>1170.6474780035401</v>
      </c>
      <c r="I86" s="9">
        <v>1142.5017648772493</v>
      </c>
      <c r="J86" s="9">
        <v>1094.2399643050353</v>
      </c>
      <c r="K86" s="9">
        <v>1122.6572353064519</v>
      </c>
      <c r="L86" s="9">
        <v>1098.1029503571167</v>
      </c>
      <c r="M86" s="9">
        <v>1061.815484503551</v>
      </c>
      <c r="N86" s="9">
        <v>1067.0040290641873</v>
      </c>
      <c r="O86" s="9">
        <v>1049.3271680467424</v>
      </c>
      <c r="P86" s="9">
        <v>1036.0685332443736</v>
      </c>
      <c r="Q86" s="9">
        <v>1036.3727307141869</v>
      </c>
      <c r="R86" s="9">
        <v>1005.1134091730426</v>
      </c>
      <c r="S86" s="9">
        <v>1036.5644213654402</v>
      </c>
      <c r="T86" s="9">
        <v>1012.5401299575102</v>
      </c>
      <c r="U86" s="9">
        <v>1004.4640948357035</v>
      </c>
      <c r="V86" s="9">
        <v>999.93571530828615</v>
      </c>
      <c r="W86" s="12">
        <v>1009.4533569194872</v>
      </c>
      <c r="X86" s="12">
        <v>1008.6167754711194</v>
      </c>
      <c r="Y86" s="12">
        <v>1007.8926560882537</v>
      </c>
      <c r="Z86" s="12">
        <v>1007.2543690550053</v>
      </c>
      <c r="AA86" s="12">
        <v>1006.6837443739978</v>
      </c>
      <c r="AB86" s="12">
        <v>1006.1678300495673</v>
      </c>
      <c r="AC86" s="12">
        <v>1005.6970680462249</v>
      </c>
      <c r="AD86" s="12">
        <v>1005.2642034896171</v>
      </c>
      <c r="AE86" s="12">
        <v>1004.8635996110186</v>
      </c>
      <c r="AF86" s="12">
        <v>1004.4907898188661</v>
      </c>
      <c r="AG86" s="12">
        <v>1004.142174757387</v>
      </c>
      <c r="AH86" s="12">
        <v>1003.8148114504763</v>
      </c>
      <c r="AI86" s="12">
        <v>1003.5062628615976</v>
      </c>
      <c r="AJ86" s="12">
        <v>1003.2144882202399</v>
      </c>
      <c r="AK86" s="12">
        <v>1002.9377615388663</v>
      </c>
      <c r="AL86" s="12">
        <v>1002.6746100496312</v>
      </c>
      <c r="AM86" s="12">
        <v>1002.4237669893548</v>
      </c>
      <c r="AN86" s="12">
        <v>1002.1841348984608</v>
      </c>
      <c r="AO86" s="12">
        <v>1001.9547567440929</v>
      </c>
      <c r="AP86" s="12">
        <v>1001.7347929476476</v>
      </c>
    </row>
    <row r="87" spans="1:42" s="15" customFormat="1">
      <c r="A87" s="13" t="s">
        <v>37</v>
      </c>
      <c r="B87" s="14" t="s">
        <v>115</v>
      </c>
      <c r="C87" s="15">
        <v>1270.9160866691752</v>
      </c>
      <c r="D87" s="15">
        <v>1270.8901155171866</v>
      </c>
      <c r="E87" s="15">
        <v>1294.5709893266553</v>
      </c>
      <c r="F87" s="15">
        <v>1367.9286379751452</v>
      </c>
      <c r="G87" s="15">
        <v>1359.1883615359486</v>
      </c>
      <c r="H87" s="15">
        <v>1347.7497589501584</v>
      </c>
      <c r="I87" s="15">
        <v>1325.5332622861893</v>
      </c>
      <c r="J87" s="15">
        <v>1264.7573943697337</v>
      </c>
      <c r="K87" s="15">
        <v>1253.7440414902605</v>
      </c>
      <c r="L87" s="15">
        <v>1219.5469709457448</v>
      </c>
      <c r="M87" s="15">
        <v>1184.6514589524782</v>
      </c>
      <c r="N87" s="15">
        <v>1193.8806061910022</v>
      </c>
      <c r="O87" s="15">
        <v>1171.1267227691058</v>
      </c>
      <c r="P87" s="15">
        <v>1160.5801165733187</v>
      </c>
      <c r="Q87" s="15">
        <v>1149.8414191289551</v>
      </c>
      <c r="R87" s="15">
        <v>1126.122784433071</v>
      </c>
      <c r="S87" s="15">
        <v>1148.345475042363</v>
      </c>
      <c r="T87" s="15">
        <v>1141.5368747733792</v>
      </c>
      <c r="U87" s="15">
        <v>1131.4308485576837</v>
      </c>
      <c r="V87" s="15">
        <v>1139.9084468833371</v>
      </c>
      <c r="W87" s="16">
        <v>1145.5863810503968</v>
      </c>
      <c r="X87" s="16">
        <v>1146.3033884935151</v>
      </c>
      <c r="Y87" s="16">
        <v>1146.9248513211871</v>
      </c>
      <c r="Z87" s="16">
        <v>1147.4733000407834</v>
      </c>
      <c r="AA87" s="16">
        <v>1147.9641263651324</v>
      </c>
      <c r="AB87" s="16">
        <v>1148.4083136446957</v>
      </c>
      <c r="AC87" s="16">
        <v>1148.8139749336033</v>
      </c>
      <c r="AD87" s="16">
        <v>1149.1872736836767</v>
      </c>
      <c r="AE87" s="16">
        <v>1149.5330024852674</v>
      </c>
      <c r="AF87" s="16">
        <v>1149.8549617889396</v>
      </c>
      <c r="AG87" s="16">
        <v>1150.1562162325156</v>
      </c>
      <c r="AH87" s="16">
        <v>1150.439273175524</v>
      </c>
      <c r="AI87" s="16">
        <v>1150.7062101605416</v>
      </c>
      <c r="AJ87" s="16">
        <v>1150.9587678906648</v>
      </c>
      <c r="AK87" s="16">
        <v>1151.1984193470371</v>
      </c>
      <c r="AL87" s="16">
        <v>1151.4264220373373</v>
      </c>
      <c r="AM87" s="16">
        <v>1151.6438580871366</v>
      </c>
      <c r="AN87" s="16">
        <v>1151.8516654184916</v>
      </c>
      <c r="AO87" s="16">
        <v>1152.0506622928215</v>
      </c>
      <c r="AP87" s="16">
        <v>1152.2415668439967</v>
      </c>
    </row>
    <row r="88" spans="1:42" s="9" customFormat="1">
      <c r="A88" s="11" t="s">
        <v>38</v>
      </c>
      <c r="B88" s="6" t="s">
        <v>116</v>
      </c>
      <c r="C88" s="9">
        <v>1120.8834819204583</v>
      </c>
      <c r="D88" s="9">
        <v>1122.953275021782</v>
      </c>
      <c r="E88" s="9">
        <v>1123.2492477230123</v>
      </c>
      <c r="F88" s="9">
        <v>1085.2069662809251</v>
      </c>
      <c r="G88" s="9">
        <v>1043.2612835862687</v>
      </c>
      <c r="H88" s="9">
        <v>1029.5523012249653</v>
      </c>
      <c r="I88" s="9">
        <v>1028.9403379245048</v>
      </c>
      <c r="J88" s="9">
        <v>1005.1985828641808</v>
      </c>
      <c r="K88" s="9">
        <v>1011.1442267224259</v>
      </c>
      <c r="L88" s="9">
        <v>989.27256455882275</v>
      </c>
      <c r="M88" s="9">
        <v>928.51725333179263</v>
      </c>
      <c r="N88" s="9">
        <v>937.49796317052005</v>
      </c>
      <c r="O88" s="9">
        <v>911.43411325148008</v>
      </c>
      <c r="P88" s="9">
        <v>903.08957912677056</v>
      </c>
      <c r="Q88" s="9">
        <v>875.08397612645695</v>
      </c>
      <c r="R88" s="9">
        <v>909.3552263465881</v>
      </c>
      <c r="S88" s="9">
        <v>869.51752839645053</v>
      </c>
      <c r="T88" s="9">
        <v>880.72001183896509</v>
      </c>
      <c r="U88" s="9">
        <v>862.58677125519853</v>
      </c>
      <c r="V88" s="9">
        <v>867.45094491967507</v>
      </c>
      <c r="W88" s="12">
        <v>857.30893860138463</v>
      </c>
      <c r="X88" s="12">
        <v>853.90674993663799</v>
      </c>
      <c r="Y88" s="12">
        <v>850.97055526295514</v>
      </c>
      <c r="Z88" s="12">
        <v>848.38902950596355</v>
      </c>
      <c r="AA88" s="12">
        <v>846.0864127156417</v>
      </c>
      <c r="AB88" s="12">
        <v>844.00882668518341</v>
      </c>
      <c r="AC88" s="12">
        <v>842.11659415972792</v>
      </c>
      <c r="AD88" s="12">
        <v>840.37965546642204</v>
      </c>
      <c r="AE88" s="12">
        <v>838.77469557213203</v>
      </c>
      <c r="AF88" s="12">
        <v>837.28326889142511</v>
      </c>
      <c r="AG88" s="12">
        <v>835.89053311090117</v>
      </c>
      <c r="AH88" s="12">
        <v>834.58436920959286</v>
      </c>
      <c r="AI88" s="12">
        <v>833.35475448976638</v>
      </c>
      <c r="AJ88" s="12">
        <v>832.1933060988589</v>
      </c>
      <c r="AK88" s="12">
        <v>831.09294229837076</v>
      </c>
      <c r="AL88" s="12">
        <v>830.04762683510398</v>
      </c>
      <c r="AM88" s="12">
        <v>829.05217310389867</v>
      </c>
      <c r="AN88" s="12">
        <v>828.10209207708203</v>
      </c>
      <c r="AO88" s="12">
        <v>827.19347277086069</v>
      </c>
      <c r="AP88" s="12">
        <v>826.32288724165153</v>
      </c>
    </row>
    <row r="89" spans="1:42" s="9" customFormat="1">
      <c r="A89" s="11" t="s">
        <v>38</v>
      </c>
      <c r="B89" s="6" t="s">
        <v>117</v>
      </c>
      <c r="C89" s="9">
        <v>907.93044426318431</v>
      </c>
      <c r="D89" s="9">
        <v>876.76821454018693</v>
      </c>
      <c r="E89" s="9">
        <v>917.26788014564568</v>
      </c>
      <c r="F89" s="9">
        <v>881.56376684803331</v>
      </c>
      <c r="G89" s="9">
        <v>866.60469509218024</v>
      </c>
      <c r="H89" s="9">
        <v>879.17629794073889</v>
      </c>
      <c r="I89" s="9">
        <v>910.58281341418285</v>
      </c>
      <c r="J89" s="9">
        <v>896.4244413233813</v>
      </c>
      <c r="K89" s="9">
        <v>890.20951600056014</v>
      </c>
      <c r="L89" s="9">
        <v>854.30766624488501</v>
      </c>
      <c r="M89" s="9">
        <v>838.97027351788211</v>
      </c>
      <c r="N89" s="9">
        <v>824.59233208692831</v>
      </c>
      <c r="O89" s="9">
        <v>820.05069961905735</v>
      </c>
      <c r="P89" s="9">
        <v>815.19126492142311</v>
      </c>
      <c r="Q89" s="9">
        <v>789.29637937735617</v>
      </c>
      <c r="R89" s="9">
        <v>794.69370011006083</v>
      </c>
      <c r="S89" s="9">
        <v>770.65852718909719</v>
      </c>
      <c r="T89" s="9">
        <v>778.92290846288824</v>
      </c>
      <c r="U89" s="9">
        <v>761.42972895351909</v>
      </c>
      <c r="V89" s="9">
        <v>746.79524948083736</v>
      </c>
      <c r="W89" s="12">
        <v>749.24005777463788</v>
      </c>
      <c r="X89" s="12">
        <v>745.49475879807471</v>
      </c>
      <c r="Y89" s="12">
        <v>742.26556971067964</v>
      </c>
      <c r="Z89" s="12">
        <v>739.42883541315621</v>
      </c>
      <c r="AA89" s="12">
        <v>736.90047773748802</v>
      </c>
      <c r="AB89" s="12">
        <v>734.6207484517397</v>
      </c>
      <c r="AC89" s="12">
        <v>732.54567756111464</v>
      </c>
      <c r="AD89" s="12">
        <v>730.64197383692851</v>
      </c>
      <c r="AE89" s="12">
        <v>728.88383040280291</v>
      </c>
      <c r="AF89" s="12">
        <v>727.25084092170118</v>
      </c>
      <c r="AG89" s="12">
        <v>725.72659330175304</v>
      </c>
      <c r="AH89" s="12">
        <v>724.29769281588563</v>
      </c>
      <c r="AI89" s="12">
        <v>722.95306641076945</v>
      </c>
      <c r="AJ89" s="12">
        <v>721.68345641086898</v>
      </c>
      <c r="AK89" s="12">
        <v>720.48104497061797</v>
      </c>
      <c r="AL89" s="12">
        <v>719.33917076859905</v>
      </c>
      <c r="AM89" s="12">
        <v>718.25211204457491</v>
      </c>
      <c r="AN89" s="12">
        <v>717.21491818173627</v>
      </c>
      <c r="AO89" s="12">
        <v>716.22327736630734</v>
      </c>
      <c r="AP89" s="12">
        <v>715.27341143762908</v>
      </c>
    </row>
    <row r="90" spans="1:42" s="9" customFormat="1">
      <c r="A90" s="11" t="s">
        <v>38</v>
      </c>
      <c r="B90" s="6" t="s">
        <v>118</v>
      </c>
      <c r="C90" s="9">
        <v>1124.0673861912567</v>
      </c>
      <c r="D90" s="9">
        <v>1122.5876865182347</v>
      </c>
      <c r="E90" s="9">
        <v>1124.438688536922</v>
      </c>
      <c r="F90" s="9">
        <v>1073.5572546575411</v>
      </c>
      <c r="G90" s="9">
        <v>1097.6324148821348</v>
      </c>
      <c r="H90" s="9">
        <v>1094.0011831618019</v>
      </c>
      <c r="I90" s="9">
        <v>1088.1530562154721</v>
      </c>
      <c r="J90" s="9">
        <v>1063.7189455253003</v>
      </c>
      <c r="K90" s="9">
        <v>1072.5160203649225</v>
      </c>
      <c r="L90" s="9">
        <v>1056.3196342966414</v>
      </c>
      <c r="M90" s="9">
        <v>991.28229702054955</v>
      </c>
      <c r="N90" s="9">
        <v>987.59387825021167</v>
      </c>
      <c r="O90" s="9">
        <v>960.26113274605746</v>
      </c>
      <c r="P90" s="9">
        <v>962.904605921094</v>
      </c>
      <c r="Q90" s="9">
        <v>923.86044859624815</v>
      </c>
      <c r="R90" s="9">
        <v>963.87972650735787</v>
      </c>
      <c r="S90" s="9">
        <v>919.4937204986087</v>
      </c>
      <c r="T90" s="9">
        <v>929.44210281391861</v>
      </c>
      <c r="U90" s="9">
        <v>921.93696568534631</v>
      </c>
      <c r="V90" s="9">
        <v>921.77582785938273</v>
      </c>
      <c r="W90" s="12">
        <v>910.77325104118768</v>
      </c>
      <c r="X90" s="12">
        <v>907.58395047530541</v>
      </c>
      <c r="Y90" s="12">
        <v>904.83028133242885</v>
      </c>
      <c r="Z90" s="12">
        <v>902.40830873665936</v>
      </c>
      <c r="AA90" s="12">
        <v>900.24727430059386</v>
      </c>
      <c r="AB90" s="12">
        <v>898.29683938415099</v>
      </c>
      <c r="AC90" s="12">
        <v>896.51992187678707</v>
      </c>
      <c r="AD90" s="12">
        <v>894.88842031561478</v>
      </c>
      <c r="AE90" s="12">
        <v>893.38053291153381</v>
      </c>
      <c r="AF90" s="12">
        <v>891.97900719818983</v>
      </c>
      <c r="AG90" s="12">
        <v>890.66995786771918</v>
      </c>
      <c r="AH90" s="12">
        <v>889.4420449954797</v>
      </c>
      <c r="AI90" s="12">
        <v>888.28588841918759</v>
      </c>
      <c r="AJ90" s="12">
        <v>887.19364128286418</v>
      </c>
      <c r="AK90" s="12">
        <v>886.15867352615078</v>
      </c>
      <c r="AL90" s="12">
        <v>885.17533298361468</v>
      </c>
      <c r="AM90" s="12">
        <v>884.23876233319902</v>
      </c>
      <c r="AN90" s="12">
        <v>883.34475693211164</v>
      </c>
      <c r="AO90" s="12">
        <v>882.48965305373508</v>
      </c>
      <c r="AP90" s="12">
        <v>881.67023904746475</v>
      </c>
    </row>
    <row r="91" spans="1:42" s="9" customFormat="1">
      <c r="A91" s="11" t="s">
        <v>38</v>
      </c>
      <c r="B91" s="6" t="s">
        <v>119</v>
      </c>
      <c r="C91" s="9">
        <v>931.3166657210794</v>
      </c>
      <c r="D91" s="9">
        <v>892.52068889984889</v>
      </c>
      <c r="E91" s="9">
        <v>904.65675495244943</v>
      </c>
      <c r="F91" s="9">
        <v>889.17601045199785</v>
      </c>
      <c r="G91" s="9">
        <v>862.68074543219336</v>
      </c>
      <c r="H91" s="9">
        <v>886.35358023795106</v>
      </c>
      <c r="I91" s="9">
        <v>930.40150102631674</v>
      </c>
      <c r="J91" s="9">
        <v>926.03295730875948</v>
      </c>
      <c r="K91" s="9">
        <v>915.35464281228792</v>
      </c>
      <c r="L91" s="9">
        <v>879.28176323361322</v>
      </c>
      <c r="M91" s="9">
        <v>862.70225786980393</v>
      </c>
      <c r="N91" s="9">
        <v>846.77448033438793</v>
      </c>
      <c r="O91" s="9">
        <v>837.72538457067446</v>
      </c>
      <c r="P91" s="9">
        <v>831.04362706953987</v>
      </c>
      <c r="Q91" s="9">
        <v>794.12709733734835</v>
      </c>
      <c r="R91" s="9">
        <v>790.72293335082566</v>
      </c>
      <c r="S91" s="9">
        <v>762.81973897382022</v>
      </c>
      <c r="T91" s="9">
        <v>763.17249808516601</v>
      </c>
      <c r="U91" s="9">
        <v>740.98241433287524</v>
      </c>
      <c r="V91" s="9">
        <v>729.38114890416603</v>
      </c>
      <c r="W91" s="12">
        <v>728.67009932385929</v>
      </c>
      <c r="X91" s="12">
        <v>723.99377347926406</v>
      </c>
      <c r="Y91" s="12">
        <v>719.96722067014775</v>
      </c>
      <c r="Z91" s="12">
        <v>716.434141569953</v>
      </c>
      <c r="AA91" s="12">
        <v>713.28838847497843</v>
      </c>
      <c r="AB91" s="12">
        <v>710.4546093195047</v>
      </c>
      <c r="AC91" s="12">
        <v>707.87740320063494</v>
      </c>
      <c r="AD91" s="12">
        <v>705.51485998386647</v>
      </c>
      <c r="AE91" s="12">
        <v>703.33451692265578</v>
      </c>
      <c r="AF91" s="12">
        <v>701.31072314216146</v>
      </c>
      <c r="AG91" s="12">
        <v>699.42286232201786</v>
      </c>
      <c r="AH91" s="12">
        <v>697.65411892158579</v>
      </c>
      <c r="AI91" s="12">
        <v>695.99060009379014</v>
      </c>
      <c r="AJ91" s="12">
        <v>694.42069702592153</v>
      </c>
      <c r="AK91" s="12">
        <v>692.93461147281164</v>
      </c>
      <c r="AL91" s="12">
        <v>691.52399876922095</v>
      </c>
      <c r="AM91" s="12">
        <v>690.18169457436602</v>
      </c>
      <c r="AN91" s="12">
        <v>688.90150285637048</v>
      </c>
      <c r="AO91" s="12">
        <v>687.67802936753071</v>
      </c>
      <c r="AP91" s="12">
        <v>686.50654938972968</v>
      </c>
    </row>
    <row r="92" spans="1:42" s="9" customFormat="1">
      <c r="A92" s="11" t="s">
        <v>38</v>
      </c>
      <c r="B92" s="6" t="s">
        <v>120</v>
      </c>
      <c r="C92" s="9">
        <v>852.54300662832736</v>
      </c>
      <c r="D92" s="9">
        <v>849.38643737118832</v>
      </c>
      <c r="E92" s="9">
        <v>873.06870282609941</v>
      </c>
      <c r="F92" s="9">
        <v>836.14235340190214</v>
      </c>
      <c r="G92" s="9">
        <v>826.1662549960547</v>
      </c>
      <c r="H92" s="9">
        <v>843.23558387129822</v>
      </c>
      <c r="I92" s="9">
        <v>868.58716506846451</v>
      </c>
      <c r="J92" s="9">
        <v>872.27941570271878</v>
      </c>
      <c r="K92" s="9">
        <v>863.59102850401393</v>
      </c>
      <c r="L92" s="9">
        <v>824.41919357576262</v>
      </c>
      <c r="M92" s="9">
        <v>807.37189758201521</v>
      </c>
      <c r="N92" s="9">
        <v>792.50863137289116</v>
      </c>
      <c r="O92" s="9">
        <v>794.78623128398078</v>
      </c>
      <c r="P92" s="9">
        <v>793.553393151573</v>
      </c>
      <c r="Q92" s="9">
        <v>765.43553086900477</v>
      </c>
      <c r="R92" s="9">
        <v>764.94032601738365</v>
      </c>
      <c r="S92" s="9">
        <v>748.98675544404648</v>
      </c>
      <c r="T92" s="9">
        <v>752.51138910383918</v>
      </c>
      <c r="U92" s="9">
        <v>740.40289494005992</v>
      </c>
      <c r="V92" s="9">
        <v>725.27063961112538</v>
      </c>
      <c r="W92" s="12">
        <v>729.17603117203487</v>
      </c>
      <c r="X92" s="12">
        <v>725.84661516178278</v>
      </c>
      <c r="Y92" s="12">
        <v>722.97483427347527</v>
      </c>
      <c r="Z92" s="12">
        <v>720.45117655087836</v>
      </c>
      <c r="AA92" s="12">
        <v>718.20115327320934</v>
      </c>
      <c r="AB92" s="12">
        <v>716.17181374338065</v>
      </c>
      <c r="AC92" s="12">
        <v>714.3241792133357</v>
      </c>
      <c r="AD92" s="12">
        <v>712.62872981457906</v>
      </c>
      <c r="AE92" s="12">
        <v>711.0625767235224</v>
      </c>
      <c r="AF92" s="12">
        <v>709.60761703068658</v>
      </c>
      <c r="AG92" s="12">
        <v>708.24928824690642</v>
      </c>
      <c r="AH92" s="12">
        <v>706.97570294405114</v>
      </c>
      <c r="AI92" s="12">
        <v>705.77703236596119</v>
      </c>
      <c r="AJ92" s="12">
        <v>704.64505776470435</v>
      </c>
      <c r="AK92" s="12">
        <v>703.57283754561229</v>
      </c>
      <c r="AL92" s="12">
        <v>702.55445612816243</v>
      </c>
      <c r="AM92" s="12">
        <v>701.58483158817558</v>
      </c>
      <c r="AN92" s="12">
        <v>700.65956631853135</v>
      </c>
      <c r="AO92" s="12">
        <v>699.77482966444393</v>
      </c>
      <c r="AP92" s="12">
        <v>698.92726466025738</v>
      </c>
    </row>
    <row r="93" spans="1:42" s="9" customFormat="1">
      <c r="A93" s="11" t="s">
        <v>38</v>
      </c>
      <c r="B93" s="6" t="s">
        <v>121</v>
      </c>
      <c r="C93" s="9">
        <v>917.47067456873117</v>
      </c>
      <c r="D93" s="9">
        <v>903.24840186875906</v>
      </c>
      <c r="E93" s="9">
        <v>938.77883419693421</v>
      </c>
      <c r="F93" s="9">
        <v>895.38458654629801</v>
      </c>
      <c r="G93" s="9">
        <v>906.29362945758066</v>
      </c>
      <c r="H93" s="9">
        <v>895.7984888031383</v>
      </c>
      <c r="I93" s="9">
        <v>935.31809285174302</v>
      </c>
      <c r="J93" s="9">
        <v>912.11445952865085</v>
      </c>
      <c r="K93" s="9">
        <v>918.42805142102804</v>
      </c>
      <c r="L93" s="9">
        <v>870.86158649030915</v>
      </c>
      <c r="M93" s="9">
        <v>862.50265907749133</v>
      </c>
      <c r="N93" s="9">
        <v>832.45470945933835</v>
      </c>
      <c r="O93" s="9">
        <v>830.94242857253391</v>
      </c>
      <c r="P93" s="9">
        <v>834.89579121737745</v>
      </c>
      <c r="Q93" s="9">
        <v>810.63002019112832</v>
      </c>
      <c r="R93" s="9">
        <v>805.0373744047605</v>
      </c>
      <c r="S93" s="9">
        <v>794.08630205478198</v>
      </c>
      <c r="T93" s="9">
        <v>803.15548237766745</v>
      </c>
      <c r="U93" s="9">
        <v>780.83601852140532</v>
      </c>
      <c r="V93" s="9">
        <v>771.24968962125831</v>
      </c>
      <c r="W93" s="12">
        <v>775.02321192962131</v>
      </c>
      <c r="X93" s="12">
        <v>772.11957204550731</v>
      </c>
      <c r="Y93" s="12">
        <v>769.61311942327859</v>
      </c>
      <c r="Z93" s="12">
        <v>767.40902602802305</v>
      </c>
      <c r="AA93" s="12">
        <v>765.44274661400982</v>
      </c>
      <c r="AB93" s="12">
        <v>763.66837099042084</v>
      </c>
      <c r="AC93" s="12">
        <v>762.05208476857729</v>
      </c>
      <c r="AD93" s="12">
        <v>760.56826659166086</v>
      </c>
      <c r="AE93" s="12">
        <v>759.19704147045843</v>
      </c>
      <c r="AF93" s="12">
        <v>757.92268362745995</v>
      </c>
      <c r="AG93" s="12">
        <v>756.73253793463846</v>
      </c>
      <c r="AH93" s="12">
        <v>755.61627024404413</v>
      </c>
      <c r="AI93" s="12">
        <v>754.56533320963763</v>
      </c>
      <c r="AJ93" s="12">
        <v>753.57257733189283</v>
      </c>
      <c r="AK93" s="12">
        <v>752.63196230716426</v>
      </c>
      <c r="AL93" s="12">
        <v>751.73833917519812</v>
      </c>
      <c r="AM93" s="12">
        <v>750.88728340941611</v>
      </c>
      <c r="AN93" s="12">
        <v>750.07496529955688</v>
      </c>
      <c r="AO93" s="12">
        <v>749.29804806010054</v>
      </c>
      <c r="AP93" s="12">
        <v>748.55360684287007</v>
      </c>
    </row>
    <row r="94" spans="1:42" s="9" customFormat="1">
      <c r="A94" s="11" t="s">
        <v>38</v>
      </c>
      <c r="B94" s="6" t="s">
        <v>122</v>
      </c>
      <c r="C94" s="9">
        <v>928.24051390966156</v>
      </c>
      <c r="D94" s="9">
        <v>963.32016099751638</v>
      </c>
      <c r="E94" s="9">
        <v>1041.2955519239983</v>
      </c>
      <c r="F94" s="9">
        <v>1003.1586011544823</v>
      </c>
      <c r="G94" s="9">
        <v>1082.3433927335659</v>
      </c>
      <c r="H94" s="9">
        <v>954.01170164518373</v>
      </c>
      <c r="I94" s="9">
        <v>943.65271313778192</v>
      </c>
      <c r="J94" s="9">
        <v>887.66696420275957</v>
      </c>
      <c r="K94" s="9">
        <v>972.77311233374644</v>
      </c>
      <c r="L94" s="9">
        <v>888.20425935827802</v>
      </c>
      <c r="M94" s="9">
        <v>865.78439181035537</v>
      </c>
      <c r="N94" s="9">
        <v>826.36070409822219</v>
      </c>
      <c r="O94" s="9">
        <v>831.98187772116171</v>
      </c>
      <c r="P94" s="9">
        <v>836.00708754853952</v>
      </c>
      <c r="Q94" s="9">
        <v>836.38755329059495</v>
      </c>
      <c r="R94" s="9">
        <v>836.20992385182512</v>
      </c>
      <c r="S94" s="9">
        <v>825.19415961095342</v>
      </c>
      <c r="T94" s="9">
        <v>823.28019931188953</v>
      </c>
      <c r="U94" s="9">
        <v>838.2594778717646</v>
      </c>
      <c r="V94" s="9">
        <v>845.14563113262352</v>
      </c>
      <c r="W94" s="12">
        <v>836.86669814077413</v>
      </c>
      <c r="X94" s="12">
        <v>837.68788021539956</v>
      </c>
      <c r="Y94" s="12">
        <v>838.39987178097476</v>
      </c>
      <c r="Z94" s="12">
        <v>839.02839514220739</v>
      </c>
      <c r="AA94" s="12">
        <v>839.59102769934202</v>
      </c>
      <c r="AB94" s="12">
        <v>840.10031577020357</v>
      </c>
      <c r="AC94" s="12">
        <v>840.56552909875006</v>
      </c>
      <c r="AD94" s="12">
        <v>840.99371136669049</v>
      </c>
      <c r="AE94" s="12">
        <v>841.39034068054389</v>
      </c>
      <c r="AF94" s="12">
        <v>841.75976187294486</v>
      </c>
      <c r="AG94" s="12">
        <v>842.10547914687447</v>
      </c>
      <c r="AH94" s="12">
        <v>842.43035993977298</v>
      </c>
      <c r="AI94" s="12">
        <v>842.73678049135287</v>
      </c>
      <c r="AJ94" s="12">
        <v>843.02673204451946</v>
      </c>
      <c r="AK94" s="12">
        <v>843.30189980381533</v>
      </c>
      <c r="AL94" s="12">
        <v>843.56372263076958</v>
      </c>
      <c r="AM94" s="12">
        <v>843.81343885501508</v>
      </c>
      <c r="AN94" s="12">
        <v>844.05212190522366</v>
      </c>
      <c r="AO94" s="12">
        <v>844.28070835985022</v>
      </c>
      <c r="AP94" s="12">
        <v>844.50002027440644</v>
      </c>
    </row>
    <row r="95" spans="1:42" s="9" customFormat="1">
      <c r="A95" s="11" t="s">
        <v>38</v>
      </c>
      <c r="B95" s="6" t="s">
        <v>123</v>
      </c>
      <c r="C95" s="9">
        <v>776.13312467797834</v>
      </c>
      <c r="D95" s="9">
        <v>749.07261659013045</v>
      </c>
      <c r="E95" s="9">
        <v>764.94087078925713</v>
      </c>
      <c r="F95" s="9">
        <v>728.20012281368599</v>
      </c>
      <c r="G95" s="9">
        <v>708.77149756992378</v>
      </c>
      <c r="H95" s="9">
        <v>724.11872534672398</v>
      </c>
      <c r="I95" s="9">
        <v>759.36307980910897</v>
      </c>
      <c r="J95" s="9">
        <v>752.55660206868401</v>
      </c>
      <c r="K95" s="9">
        <v>747.85924619486889</v>
      </c>
      <c r="L95" s="9">
        <v>716.42059014125846</v>
      </c>
      <c r="M95" s="9">
        <v>696.64492403546615</v>
      </c>
      <c r="N95" s="9">
        <v>696.28791789942181</v>
      </c>
      <c r="O95" s="9">
        <v>685.85079783396679</v>
      </c>
      <c r="P95" s="9">
        <v>682.42874911365868</v>
      </c>
      <c r="Q95" s="9">
        <v>666.02531280223184</v>
      </c>
      <c r="R95" s="9">
        <v>667.41752207745742</v>
      </c>
      <c r="S95" s="9">
        <v>647.87913936751761</v>
      </c>
      <c r="T95" s="9">
        <v>648.47526535249665</v>
      </c>
      <c r="U95" s="9">
        <v>629.74895314846015</v>
      </c>
      <c r="V95" s="9">
        <v>622.66009807526564</v>
      </c>
      <c r="W95" s="12">
        <v>621.63319764094433</v>
      </c>
      <c r="X95" s="12">
        <v>617.53670050783944</v>
      </c>
      <c r="Y95" s="12">
        <v>614.00998029237667</v>
      </c>
      <c r="Z95" s="12">
        <v>610.91591429401137</v>
      </c>
      <c r="AA95" s="12">
        <v>608.16139173819272</v>
      </c>
      <c r="AB95" s="12">
        <v>605.68032366295233</v>
      </c>
      <c r="AC95" s="12">
        <v>603.42412522284246</v>
      </c>
      <c r="AD95" s="12">
        <v>601.35604636835285</v>
      </c>
      <c r="AE95" s="12">
        <v>599.44762395424482</v>
      </c>
      <c r="AF95" s="12">
        <v>597.67636941207184</v>
      </c>
      <c r="AG95" s="12">
        <v>596.02420952110742</v>
      </c>
      <c r="AH95" s="12">
        <v>594.47640411474799</v>
      </c>
      <c r="AI95" s="12">
        <v>593.02077586355745</v>
      </c>
      <c r="AJ95" s="12">
        <v>591.64715011280259</v>
      </c>
      <c r="AK95" s="12">
        <v>590.34693963672908</v>
      </c>
      <c r="AL95" s="12">
        <v>589.11283156872935</v>
      </c>
      <c r="AM95" s="12">
        <v>587.93854777702506</v>
      </c>
      <c r="AN95" s="12">
        <v>586.81865895370015</v>
      </c>
      <c r="AO95" s="12">
        <v>585.74843860135832</v>
      </c>
      <c r="AP95" s="12">
        <v>584.72374707475706</v>
      </c>
    </row>
    <row r="96" spans="1:42" s="9" customFormat="1">
      <c r="A96" s="11" t="s">
        <v>38</v>
      </c>
      <c r="B96" s="6" t="s">
        <v>124</v>
      </c>
      <c r="C96" s="9">
        <v>1123.7331280165197</v>
      </c>
      <c r="D96" s="9">
        <v>1127.87660566043</v>
      </c>
      <c r="E96" s="9">
        <v>1124.7777038634804</v>
      </c>
      <c r="F96" s="9">
        <v>1124.3362405342409</v>
      </c>
      <c r="G96" s="9">
        <v>1078.5650245558934</v>
      </c>
      <c r="H96" s="9">
        <v>1088.1421280352952</v>
      </c>
      <c r="I96" s="9">
        <v>1096.4124126791496</v>
      </c>
      <c r="J96" s="9">
        <v>1060.4268707762646</v>
      </c>
      <c r="K96" s="9">
        <v>1062.295425195075</v>
      </c>
      <c r="L96" s="9">
        <v>1042.095326497903</v>
      </c>
      <c r="M96" s="9">
        <v>974.91512828716679</v>
      </c>
      <c r="N96" s="9">
        <v>986.89348059310237</v>
      </c>
      <c r="O96" s="9">
        <v>953.22226283527277</v>
      </c>
      <c r="P96" s="9">
        <v>948.89444491354016</v>
      </c>
      <c r="Q96" s="9">
        <v>903.08381870905396</v>
      </c>
      <c r="R96" s="9">
        <v>948.94065209348184</v>
      </c>
      <c r="S96" s="9">
        <v>916.70202468140553</v>
      </c>
      <c r="T96" s="9">
        <v>919.07628965434981</v>
      </c>
      <c r="U96" s="9">
        <v>914.96642843956215</v>
      </c>
      <c r="V96" s="9">
        <v>912.71570264353034</v>
      </c>
      <c r="W96" s="12">
        <v>904.56622001067672</v>
      </c>
      <c r="X96" s="12">
        <v>901.92304670589704</v>
      </c>
      <c r="Y96" s="12">
        <v>899.63966955602177</v>
      </c>
      <c r="Z96" s="12">
        <v>897.63038696870342</v>
      </c>
      <c r="AA96" s="12">
        <v>895.83682534216859</v>
      </c>
      <c r="AB96" s="12">
        <v>894.21743894708698</v>
      </c>
      <c r="AC96" s="12">
        <v>892.74161122934333</v>
      </c>
      <c r="AD96" s="12">
        <v>891.3861323529527</v>
      </c>
      <c r="AE96" s="12">
        <v>890.13298983417405</v>
      </c>
      <c r="AF96" s="12">
        <v>888.96792562430028</v>
      </c>
      <c r="AG96" s="12">
        <v>887.87946129117813</v>
      </c>
      <c r="AH96" s="12">
        <v>886.85822019211037</v>
      </c>
      <c r="AI96" s="12">
        <v>885.89644431051261</v>
      </c>
      <c r="AJ96" s="12">
        <v>884.9876423261079</v>
      </c>
      <c r="AK96" s="12">
        <v>884.12632835781551</v>
      </c>
      <c r="AL96" s="12">
        <v>883.30782472622911</v>
      </c>
      <c r="AM96" s="12">
        <v>882.52811079500259</v>
      </c>
      <c r="AN96" s="12">
        <v>881.78370555347351</v>
      </c>
      <c r="AO96" s="12">
        <v>881.07157529158803</v>
      </c>
      <c r="AP96" s="12">
        <v>880.38906019825345</v>
      </c>
    </row>
    <row r="97" spans="1:42" s="9" customFormat="1">
      <c r="A97" s="11" t="s">
        <v>38</v>
      </c>
      <c r="B97" s="6" t="s">
        <v>125</v>
      </c>
      <c r="C97" s="9">
        <v>1125.7735082670297</v>
      </c>
      <c r="D97" s="9">
        <v>1128.8354509508881</v>
      </c>
      <c r="E97" s="9">
        <v>1128.7865132877271</v>
      </c>
      <c r="F97" s="9">
        <v>1089.9144497295258</v>
      </c>
      <c r="G97" s="9">
        <v>1033.7342564950968</v>
      </c>
      <c r="H97" s="9">
        <v>1035.1621617262649</v>
      </c>
      <c r="I97" s="9">
        <v>1035.9090138677143</v>
      </c>
      <c r="J97" s="9">
        <v>1006.6072738020837</v>
      </c>
      <c r="K97" s="9">
        <v>1000.0889353665957</v>
      </c>
      <c r="L97" s="9">
        <v>988.68407739471525</v>
      </c>
      <c r="M97" s="9">
        <v>923.08151082335496</v>
      </c>
      <c r="N97" s="9">
        <v>936.44700745454418</v>
      </c>
      <c r="O97" s="9">
        <v>908.97841063023964</v>
      </c>
      <c r="P97" s="9">
        <v>911.02155448130873</v>
      </c>
      <c r="Q97" s="9">
        <v>871.89658961307566</v>
      </c>
      <c r="R97" s="9">
        <v>920.00407282724075</v>
      </c>
      <c r="S97" s="9">
        <v>890.55028045793858</v>
      </c>
      <c r="T97" s="9">
        <v>885.05919713122432</v>
      </c>
      <c r="U97" s="9">
        <v>883.90625760108298</v>
      </c>
      <c r="V97" s="9">
        <v>880.8926896412562</v>
      </c>
      <c r="W97" s="12">
        <v>871.87421133341127</v>
      </c>
      <c r="X97" s="12">
        <v>868.94681504999153</v>
      </c>
      <c r="Y97" s="12">
        <v>866.4189350641002</v>
      </c>
      <c r="Z97" s="12">
        <v>864.19529171230113</v>
      </c>
      <c r="AA97" s="12">
        <v>862.21101119793468</v>
      </c>
      <c r="AB97" s="12">
        <v>860.41993634639539</v>
      </c>
      <c r="AC97" s="12">
        <v>858.78806208485491</v>
      </c>
      <c r="AD97" s="12">
        <v>857.28961654990098</v>
      </c>
      <c r="AE97" s="12">
        <v>855.90460372754512</v>
      </c>
      <c r="AF97" s="12">
        <v>854.6171989652056</v>
      </c>
      <c r="AG97" s="12">
        <v>853.41466524095244</v>
      </c>
      <c r="AH97" s="12">
        <v>852.28659976202289</v>
      </c>
      <c r="AI97" s="12">
        <v>851.22439703478653</v>
      </c>
      <c r="AJ97" s="12">
        <v>850.2208578425674</v>
      </c>
      <c r="AK97" s="12">
        <v>849.26989901728098</v>
      </c>
      <c r="AL97" s="12">
        <v>848.36633436491502</v>
      </c>
      <c r="AM97" s="12">
        <v>847.50570679688019</v>
      </c>
      <c r="AN97" s="12">
        <v>846.68415795126987</v>
      </c>
      <c r="AO97" s="12">
        <v>845.89832569027408</v>
      </c>
      <c r="AP97" s="12">
        <v>845.14526261765502</v>
      </c>
    </row>
    <row r="98" spans="1:42" s="9" customFormat="1">
      <c r="A98" s="11" t="s">
        <v>38</v>
      </c>
      <c r="B98" s="6" t="s">
        <v>126</v>
      </c>
      <c r="C98" s="9">
        <v>934.75305441566843</v>
      </c>
      <c r="D98" s="9">
        <v>920.60388944758699</v>
      </c>
      <c r="E98" s="9">
        <v>976.00856393090783</v>
      </c>
      <c r="F98" s="9">
        <v>934.13084032614563</v>
      </c>
      <c r="G98" s="9">
        <v>963.05515182877593</v>
      </c>
      <c r="H98" s="9">
        <v>931.43893606374684</v>
      </c>
      <c r="I98" s="9">
        <v>948.02488390594203</v>
      </c>
      <c r="J98" s="9">
        <v>926.10113738131486</v>
      </c>
      <c r="K98" s="9">
        <v>945.82178061793036</v>
      </c>
      <c r="L98" s="9">
        <v>895.27663671607638</v>
      </c>
      <c r="M98" s="9">
        <v>869.16129471226986</v>
      </c>
      <c r="N98" s="9">
        <v>852.00431496938427</v>
      </c>
      <c r="O98" s="9">
        <v>853.41847772729318</v>
      </c>
      <c r="P98" s="9">
        <v>852.10370246540458</v>
      </c>
      <c r="Q98" s="9">
        <v>835.06441863841758</v>
      </c>
      <c r="R98" s="9">
        <v>836.38836573985134</v>
      </c>
      <c r="S98" s="9">
        <v>823.96846721026384</v>
      </c>
      <c r="T98" s="9">
        <v>832.93298147449843</v>
      </c>
      <c r="U98" s="9">
        <v>821.23174362023519</v>
      </c>
      <c r="V98" s="9">
        <v>819.33242453034541</v>
      </c>
      <c r="W98" s="12">
        <v>819.01235016556461</v>
      </c>
      <c r="X98" s="12">
        <v>817.57067085165284</v>
      </c>
      <c r="Y98" s="12">
        <v>816.32388285369882</v>
      </c>
      <c r="Z98" s="12">
        <v>815.22571619922087</v>
      </c>
      <c r="AA98" s="12">
        <v>814.24462452841351</v>
      </c>
      <c r="AB98" s="12">
        <v>813.35813633166401</v>
      </c>
      <c r="AC98" s="12">
        <v>812.54967878739035</v>
      </c>
      <c r="AD98" s="12">
        <v>811.80667958475362</v>
      </c>
      <c r="AE98" s="12">
        <v>811.11937549196819</v>
      </c>
      <c r="AF98" s="12">
        <v>810.48003373618815</v>
      </c>
      <c r="AG98" s="12">
        <v>809.8824256620311</v>
      </c>
      <c r="AH98" s="12">
        <v>809.32146054460225</v>
      </c>
      <c r="AI98" s="12">
        <v>808.7929244326898</v>
      </c>
      <c r="AJ98" s="12">
        <v>808.29328983407447</v>
      </c>
      <c r="AK98" s="12">
        <v>807.81957437049073</v>
      </c>
      <c r="AL98" s="12">
        <v>807.36923402294565</v>
      </c>
      <c r="AM98" s="12">
        <v>806.94008128424855</v>
      </c>
      <c r="AN98" s="12">
        <v>806.53022155702149</v>
      </c>
      <c r="AO98" s="12">
        <v>806.13800312537842</v>
      </c>
      <c r="AP98" s="12">
        <v>805.76197736687698</v>
      </c>
    </row>
    <row r="99" spans="1:42" s="78" customFormat="1">
      <c r="A99" s="76" t="s">
        <v>38</v>
      </c>
      <c r="B99" s="77" t="s">
        <v>127</v>
      </c>
      <c r="C99" s="78">
        <v>1070.9774922191291</v>
      </c>
      <c r="D99" s="78">
        <v>1098.4736266728846</v>
      </c>
      <c r="E99" s="78">
        <v>1116.9507398266226</v>
      </c>
      <c r="F99" s="78">
        <v>1087.1141776730169</v>
      </c>
      <c r="G99" s="78">
        <v>1058.4684888872016</v>
      </c>
      <c r="H99" s="78">
        <v>1063.1717218709477</v>
      </c>
      <c r="I99" s="78">
        <v>1067.6602362513377</v>
      </c>
      <c r="J99" s="78">
        <v>1029.5641819952705</v>
      </c>
      <c r="K99" s="78">
        <v>1049.0241537774034</v>
      </c>
      <c r="L99" s="78">
        <v>1001.5694550442254</v>
      </c>
      <c r="M99" s="78">
        <v>941.43022170162885</v>
      </c>
      <c r="N99" s="78">
        <v>929.84671818740867</v>
      </c>
      <c r="O99" s="78">
        <v>907.05468104519673</v>
      </c>
      <c r="P99" s="78">
        <v>895.02588627086311</v>
      </c>
      <c r="Q99" s="78">
        <v>870.46959090838993</v>
      </c>
      <c r="R99" s="78">
        <v>901.24096173861096</v>
      </c>
      <c r="S99" s="78">
        <v>864.64227167487002</v>
      </c>
      <c r="T99" s="78">
        <v>874.05010885036711</v>
      </c>
      <c r="U99" s="78">
        <v>873.13024453223397</v>
      </c>
      <c r="V99" s="78">
        <v>873.99913873655623</v>
      </c>
      <c r="W99" s="79">
        <v>864.61333634398295</v>
      </c>
      <c r="X99" s="79">
        <v>862.86482997203234</v>
      </c>
      <c r="Y99" s="79">
        <v>861.35306328516981</v>
      </c>
      <c r="Z99" s="79">
        <v>860.02178923358736</v>
      </c>
      <c r="AA99" s="79">
        <v>858.8326676034003</v>
      </c>
      <c r="AB99" s="79">
        <v>857.75839268823779</v>
      </c>
      <c r="AC99" s="79">
        <v>856.77882992268121</v>
      </c>
      <c r="AD99" s="79">
        <v>855.87870742224197</v>
      </c>
      <c r="AE99" s="79">
        <v>855.04616726239101</v>
      </c>
      <c r="AF99" s="79">
        <v>854.27181885461505</v>
      </c>
      <c r="AG99" s="79">
        <v>853.54809912182452</v>
      </c>
      <c r="AH99" s="79">
        <v>852.86882741424029</v>
      </c>
      <c r="AI99" s="79">
        <v>852.22888812162842</v>
      </c>
      <c r="AJ99" s="79">
        <v>851.6239994060935</v>
      </c>
      <c r="AK99" s="79">
        <v>851.05054145945962</v>
      </c>
      <c r="AL99" s="79">
        <v>850.50542680244268</v>
      </c>
      <c r="AM99" s="79">
        <v>849.98600085368992</v>
      </c>
      <c r="AN99" s="79">
        <v>849.48996467067764</v>
      </c>
      <c r="AO99" s="79">
        <v>849.01531418390277</v>
      </c>
      <c r="AP99" s="79">
        <v>848.56029187297645</v>
      </c>
    </row>
    <row r="100" spans="1:42" s="9" customFormat="1">
      <c r="A100" s="11" t="s">
        <v>38</v>
      </c>
      <c r="B100" s="6" t="s">
        <v>128</v>
      </c>
      <c r="C100" s="9">
        <v>783.19583612899442</v>
      </c>
      <c r="D100" s="9">
        <v>792.19020879030404</v>
      </c>
      <c r="E100" s="9">
        <v>836.30382266127572</v>
      </c>
      <c r="F100" s="9">
        <v>951.37934692327906</v>
      </c>
      <c r="G100" s="9">
        <v>949.40352617391045</v>
      </c>
      <c r="H100" s="9">
        <v>945.66183281644817</v>
      </c>
      <c r="I100" s="9">
        <v>958.32603749263285</v>
      </c>
      <c r="J100" s="9">
        <v>923.0337031157917</v>
      </c>
      <c r="K100" s="9">
        <v>931.40830901482616</v>
      </c>
      <c r="L100" s="9">
        <v>874.56255558104237</v>
      </c>
      <c r="M100" s="9">
        <v>834.79330241142964</v>
      </c>
      <c r="N100" s="9">
        <v>824.98183770294168</v>
      </c>
      <c r="O100" s="9">
        <v>829.05827347872173</v>
      </c>
      <c r="P100" s="9">
        <v>803.75418895515475</v>
      </c>
      <c r="Q100" s="9">
        <v>787.18483158868719</v>
      </c>
      <c r="R100" s="9">
        <v>822.8869369910592</v>
      </c>
      <c r="S100" s="9">
        <v>793.30192648956938</v>
      </c>
      <c r="T100" s="9">
        <v>799.56878125081971</v>
      </c>
      <c r="U100" s="9">
        <v>790.23999778416817</v>
      </c>
      <c r="V100" s="9">
        <v>785.96531058162577</v>
      </c>
      <c r="W100" s="12">
        <v>781.06198981488672</v>
      </c>
      <c r="X100" s="12">
        <v>778.50768543018819</v>
      </c>
      <c r="Y100" s="12">
        <v>776.3017993555975</v>
      </c>
      <c r="Z100" s="12">
        <v>774.36125860108245</v>
      </c>
      <c r="AA100" s="12">
        <v>772.62949648337599</v>
      </c>
      <c r="AB100" s="12">
        <v>771.06626367026797</v>
      </c>
      <c r="AC100" s="12">
        <v>769.64190581820083</v>
      </c>
      <c r="AD100" s="12">
        <v>768.33394722812864</v>
      </c>
      <c r="AE100" s="12">
        <v>767.12494849558755</v>
      </c>
      <c r="AF100" s="12">
        <v>766.00110763421549</v>
      </c>
      <c r="AG100" s="12">
        <v>764.95131518017297</v>
      </c>
      <c r="AH100" s="12">
        <v>763.96649728051455</v>
      </c>
      <c r="AI100" s="12">
        <v>763.03914751089894</v>
      </c>
      <c r="AJ100" s="12">
        <v>762.16298590699171</v>
      </c>
      <c r="AK100" s="12">
        <v>761.33270587876757</v>
      </c>
      <c r="AL100" s="12">
        <v>760.54378316645591</v>
      </c>
      <c r="AM100" s="12">
        <v>759.79232944615796</v>
      </c>
      <c r="AN100" s="12">
        <v>759.07497862628054</v>
      </c>
      <c r="AO100" s="12">
        <v>758.38879745237602</v>
      </c>
      <c r="AP100" s="12">
        <v>757.73121444227263</v>
      </c>
    </row>
    <row r="101" spans="1:42" s="9" customFormat="1">
      <c r="A101" s="11" t="s">
        <v>38</v>
      </c>
      <c r="B101" s="6" t="s">
        <v>129</v>
      </c>
      <c r="C101" s="9">
        <v>821.63856481310575</v>
      </c>
      <c r="D101" s="9">
        <v>803.89964232585976</v>
      </c>
      <c r="E101" s="9">
        <v>815.51117982821052</v>
      </c>
      <c r="F101" s="9">
        <v>794.38419876987098</v>
      </c>
      <c r="G101" s="9">
        <v>776.36090702124068</v>
      </c>
      <c r="H101" s="9">
        <v>792.97432143287028</v>
      </c>
      <c r="I101" s="9">
        <v>830.00278123935391</v>
      </c>
      <c r="J101" s="9">
        <v>819.06466000978332</v>
      </c>
      <c r="K101" s="9">
        <v>815.32634864389058</v>
      </c>
      <c r="L101" s="9">
        <v>775.9527637892287</v>
      </c>
      <c r="M101" s="9">
        <v>760.11139272827165</v>
      </c>
      <c r="N101" s="9">
        <v>744.67734242855431</v>
      </c>
      <c r="O101" s="9">
        <v>738.21880906668684</v>
      </c>
      <c r="P101" s="9">
        <v>745.44663477511165</v>
      </c>
      <c r="Q101" s="9">
        <v>726.28779688878535</v>
      </c>
      <c r="R101" s="9">
        <v>728.82226388413596</v>
      </c>
      <c r="S101" s="9">
        <v>709.83737190213083</v>
      </c>
      <c r="T101" s="9">
        <v>715.83518395679766</v>
      </c>
      <c r="U101" s="9">
        <v>699.87135620179129</v>
      </c>
      <c r="V101" s="9">
        <v>687.73419567502822</v>
      </c>
      <c r="W101" s="12">
        <v>690.09405238483396</v>
      </c>
      <c r="X101" s="12">
        <v>686.61037287922443</v>
      </c>
      <c r="Y101" s="12">
        <v>683.60689052003306</v>
      </c>
      <c r="Z101" s="12">
        <v>680.96853864294781</v>
      </c>
      <c r="AA101" s="12">
        <v>678.61708194877735</v>
      </c>
      <c r="AB101" s="12">
        <v>676.49692634054156</v>
      </c>
      <c r="AC101" s="12">
        <v>674.56716028046606</v>
      </c>
      <c r="AD101" s="12">
        <v>672.79680912494496</v>
      </c>
      <c r="AE101" s="12">
        <v>671.16186243257789</v>
      </c>
      <c r="AF101" s="12">
        <v>669.64333484082692</v>
      </c>
      <c r="AG101" s="12">
        <v>668.22595745123465</v>
      </c>
      <c r="AH101" s="12">
        <v>666.89726882331149</v>
      </c>
      <c r="AI101" s="12">
        <v>665.64696763470783</v>
      </c>
      <c r="AJ101" s="12">
        <v>664.46644158298909</v>
      </c>
      <c r="AK101" s="12">
        <v>663.34841795263594</v>
      </c>
      <c r="AL101" s="12">
        <v>662.28670001450962</v>
      </c>
      <c r="AM101" s="12">
        <v>661.27596515716846</v>
      </c>
      <c r="AN101" s="12">
        <v>660.31160818861713</v>
      </c>
      <c r="AO101" s="12">
        <v>659.38961820684744</v>
      </c>
      <c r="AP101" s="12">
        <v>658.50648076983327</v>
      </c>
    </row>
    <row r="102" spans="1:42" s="20" customFormat="1">
      <c r="A102" s="18" t="s">
        <v>38</v>
      </c>
      <c r="B102" s="19" t="s">
        <v>130</v>
      </c>
      <c r="C102" s="20">
        <v>1080.6284918505053</v>
      </c>
      <c r="D102" s="20">
        <v>1084.533764622455</v>
      </c>
      <c r="E102" s="20">
        <v>1067.1511096843069</v>
      </c>
      <c r="F102" s="20">
        <v>1062.9035573094868</v>
      </c>
      <c r="G102" s="20">
        <v>1074.165707989265</v>
      </c>
      <c r="H102" s="20">
        <v>1021.8645079544691</v>
      </c>
      <c r="I102" s="20">
        <v>1035.074180265809</v>
      </c>
      <c r="J102" s="20">
        <v>995.06279588251073</v>
      </c>
      <c r="K102" s="20">
        <v>993.68419335380645</v>
      </c>
      <c r="L102" s="20">
        <v>961.12314310692591</v>
      </c>
      <c r="M102" s="20">
        <v>917.32193949809016</v>
      </c>
      <c r="N102" s="20">
        <v>913.06720443530469</v>
      </c>
      <c r="O102" s="20">
        <v>896.72781223419463</v>
      </c>
      <c r="P102" s="20">
        <v>875.63733947195362</v>
      </c>
      <c r="Q102" s="20">
        <v>860.94864868682555</v>
      </c>
      <c r="R102" s="20">
        <v>896.98909388040124</v>
      </c>
      <c r="S102" s="20">
        <v>858.50599670679924</v>
      </c>
      <c r="T102" s="20">
        <v>871.08003340645462</v>
      </c>
      <c r="U102" s="20">
        <v>867.71900727037098</v>
      </c>
      <c r="V102" s="20">
        <v>871.45537517027549</v>
      </c>
      <c r="W102" s="21">
        <v>861.28766854099388</v>
      </c>
      <c r="X102" s="21">
        <v>859.49312922379306</v>
      </c>
      <c r="Y102" s="21">
        <v>857.94165110906238</v>
      </c>
      <c r="Z102" s="21">
        <v>856.5754752121984</v>
      </c>
      <c r="AA102" s="21">
        <v>855.35523274315665</v>
      </c>
      <c r="AB102" s="21">
        <v>854.25288671845351</v>
      </c>
      <c r="AC102" s="21">
        <v>853.2477641854282</v>
      </c>
      <c r="AD102" s="21">
        <v>852.32418547419945</v>
      </c>
      <c r="AE102" s="21">
        <v>851.46997644264275</v>
      </c>
      <c r="AF102" s="21">
        <v>850.67549638014748</v>
      </c>
      <c r="AG102" s="21">
        <v>849.93298098696732</v>
      </c>
      <c r="AH102" s="21">
        <v>849.2360853412514</v>
      </c>
      <c r="AI102" s="21">
        <v>848.57955799943318</v>
      </c>
      <c r="AJ102" s="21">
        <v>847.9590035328207</v>
      </c>
      <c r="AK102" s="21">
        <v>847.3707061877758</v>
      </c>
      <c r="AL102" s="21">
        <v>846.81149671604976</v>
      </c>
      <c r="AM102" s="21">
        <v>846.27865028672022</v>
      </c>
      <c r="AN102" s="21">
        <v>845.76980716407991</v>
      </c>
      <c r="AO102" s="21">
        <v>845.28291032043342</v>
      </c>
      <c r="AP102" s="21">
        <v>844.81615582367908</v>
      </c>
    </row>
    <row r="103" spans="1:42" s="9" customFormat="1">
      <c r="A103" s="11" t="s">
        <v>39</v>
      </c>
      <c r="B103" s="6" t="s">
        <v>131</v>
      </c>
      <c r="C103" s="9">
        <v>849.19141269148201</v>
      </c>
      <c r="D103" s="9">
        <v>815.90523562836643</v>
      </c>
      <c r="E103" s="9">
        <v>831.82898338493135</v>
      </c>
      <c r="F103" s="9">
        <v>1056.0193462072086</v>
      </c>
      <c r="G103" s="9">
        <v>1034.0288091443251</v>
      </c>
      <c r="H103" s="9">
        <v>1048.4941613165615</v>
      </c>
      <c r="I103" s="9">
        <v>1073.2838065191354</v>
      </c>
      <c r="J103" s="9">
        <v>1066.4000835116983</v>
      </c>
      <c r="K103" s="9">
        <v>1098.1670744219998</v>
      </c>
      <c r="L103" s="9">
        <v>1126.7081546129095</v>
      </c>
      <c r="M103" s="9">
        <v>1138.5300693714321</v>
      </c>
      <c r="N103" s="9">
        <v>1138.1276797052062</v>
      </c>
      <c r="O103" s="9">
        <v>1143.7196734714778</v>
      </c>
      <c r="P103" s="9">
        <v>1156.6945875482065</v>
      </c>
      <c r="Q103" s="9">
        <v>1186.2782392618212</v>
      </c>
      <c r="R103" s="9">
        <v>1170.6312359744736</v>
      </c>
      <c r="S103" s="9">
        <v>1175.2099268783531</v>
      </c>
      <c r="T103" s="9">
        <v>1230.9943896666537</v>
      </c>
      <c r="U103" s="9">
        <v>1230.1274931138294</v>
      </c>
      <c r="V103" s="9">
        <v>1225.4896364797034</v>
      </c>
      <c r="W103" s="12">
        <v>1239.4317143145827</v>
      </c>
      <c r="X103" s="12">
        <v>1245.5746241813308</v>
      </c>
      <c r="Y103" s="12">
        <v>1250.9204587138529</v>
      </c>
      <c r="Z103" s="12">
        <v>1255.6548600284621</v>
      </c>
      <c r="AA103" s="12">
        <v>1259.9051076357239</v>
      </c>
      <c r="AB103" s="12">
        <v>1263.7623164898021</v>
      </c>
      <c r="AC103" s="12">
        <v>1267.2939826795605</v>
      </c>
      <c r="AD103" s="12">
        <v>1270.5515154588959</v>
      </c>
      <c r="AE103" s="12">
        <v>1273.574984384102</v>
      </c>
      <c r="AF103" s="12">
        <v>1276.396233294985</v>
      </c>
      <c r="AG103" s="12">
        <v>1279.0409926015959</v>
      </c>
      <c r="AH103" s="12">
        <v>1281.5303535331002</v>
      </c>
      <c r="AI103" s="12">
        <v>1283.8818226596782</v>
      </c>
      <c r="AJ103" s="12">
        <v>1286.1100924932171</v>
      </c>
      <c r="AK103" s="12">
        <v>1288.2276152962329</v>
      </c>
      <c r="AL103" s="12">
        <v>1290.2450375307096</v>
      </c>
      <c r="AM103" s="12">
        <v>1292.1715337180844</v>
      </c>
      <c r="AN103" s="12">
        <v>1294.0150664466041</v>
      </c>
      <c r="AO103" s="12">
        <v>1295.7825913176462</v>
      </c>
      <c r="AP103" s="12">
        <v>1297.4802202674518</v>
      </c>
    </row>
    <row r="104" spans="1:42" s="9" customFormat="1">
      <c r="A104" s="11" t="s">
        <v>39</v>
      </c>
      <c r="B104" s="6" t="s">
        <v>132</v>
      </c>
      <c r="C104" s="9">
        <v>902.92355729939618</v>
      </c>
      <c r="D104" s="9">
        <v>891.87860288783941</v>
      </c>
      <c r="E104" s="9">
        <v>777.75499682163672</v>
      </c>
      <c r="F104" s="9">
        <v>1098.2917657548796</v>
      </c>
      <c r="G104" s="9">
        <v>1121.2629992982254</v>
      </c>
      <c r="H104" s="9">
        <v>1111.8613421707664</v>
      </c>
      <c r="I104" s="9">
        <v>1139.38301037524</v>
      </c>
      <c r="J104" s="9">
        <v>1120.4241030313212</v>
      </c>
      <c r="K104" s="9">
        <v>1140.5392687507872</v>
      </c>
      <c r="L104" s="9">
        <v>1169.8136844007256</v>
      </c>
      <c r="M104" s="9">
        <v>1174.0107476072358</v>
      </c>
      <c r="N104" s="9">
        <v>1174.1033283888498</v>
      </c>
      <c r="O104" s="9">
        <v>1200.1858931899708</v>
      </c>
      <c r="P104" s="9">
        <v>1240.8894948900686</v>
      </c>
      <c r="Q104" s="9">
        <v>1249.4853256543897</v>
      </c>
      <c r="R104" s="9">
        <v>1241.9970510852909</v>
      </c>
      <c r="S104" s="9">
        <v>1215.4296948017302</v>
      </c>
      <c r="T104" s="9">
        <v>1284.266126189166</v>
      </c>
      <c r="U104" s="9">
        <v>1259.9387614083312</v>
      </c>
      <c r="V104" s="9">
        <v>1226.2205690529563</v>
      </c>
      <c r="W104" s="12">
        <v>1251.2215929519282</v>
      </c>
      <c r="X104" s="12">
        <v>1252.2617023080029</v>
      </c>
      <c r="Y104" s="12">
        <v>1253.1633848624369</v>
      </c>
      <c r="Z104" s="12">
        <v>1253.9592641357576</v>
      </c>
      <c r="AA104" s="12">
        <v>1254.6716307014683</v>
      </c>
      <c r="AB104" s="12">
        <v>1255.3163932664995</v>
      </c>
      <c r="AC104" s="12">
        <v>1255.9053046843881</v>
      </c>
      <c r="AD104" s="12">
        <v>1256.4472946441704</v>
      </c>
      <c r="AE104" s="12">
        <v>1256.9493074934064</v>
      </c>
      <c r="AF104" s="12">
        <v>1257.4168505633122</v>
      </c>
      <c r="AG104" s="12">
        <v>1257.8543653261943</v>
      </c>
      <c r="AH104" s="12">
        <v>1258.2654859356524</v>
      </c>
      <c r="AI104" s="12">
        <v>1258.6532238232685</v>
      </c>
      <c r="AJ104" s="12">
        <v>1259.0201023652307</v>
      </c>
      <c r="AK104" s="12">
        <v>1259.3682569986825</v>
      </c>
      <c r="AL104" s="12">
        <v>1259.6995109090465</v>
      </c>
      <c r="AM104" s="12">
        <v>1260.0154331106091</v>
      </c>
      <c r="AN104" s="12">
        <v>1260.3173836181788</v>
      </c>
      <c r="AO104" s="12">
        <v>1260.606549007171</v>
      </c>
      <c r="AP104" s="12">
        <v>1260.8839707167583</v>
      </c>
    </row>
    <row r="105" spans="1:42" s="9" customFormat="1">
      <c r="A105" s="11" t="s">
        <v>39</v>
      </c>
      <c r="B105" s="6" t="s">
        <v>133</v>
      </c>
      <c r="C105" s="9">
        <v>769.19496342665661</v>
      </c>
      <c r="D105" s="9">
        <v>756.7230392833186</v>
      </c>
      <c r="E105" s="9">
        <v>729.74660793999817</v>
      </c>
      <c r="F105" s="9">
        <v>946.77715070331249</v>
      </c>
      <c r="G105" s="9">
        <v>914.17825591663393</v>
      </c>
      <c r="H105" s="9">
        <v>914.71705088331385</v>
      </c>
      <c r="I105" s="9">
        <v>915.90747240998564</v>
      </c>
      <c r="J105" s="9">
        <v>906.55059827330717</v>
      </c>
      <c r="K105" s="9">
        <v>929.52166975330772</v>
      </c>
      <c r="L105" s="9">
        <v>987.52272277329575</v>
      </c>
      <c r="M105" s="9">
        <v>1008.400166416653</v>
      </c>
      <c r="N105" s="9">
        <v>991.31264040329495</v>
      </c>
      <c r="O105" s="9">
        <v>1010.6932302699533</v>
      </c>
      <c r="P105" s="9">
        <v>1001.9032651332722</v>
      </c>
      <c r="Q105" s="9">
        <v>1048.8600266700032</v>
      </c>
      <c r="R105" s="9">
        <v>1040.9955983466255</v>
      </c>
      <c r="S105" s="9">
        <v>1038.5802778766135</v>
      </c>
      <c r="T105" s="9">
        <v>1041.0701954433052</v>
      </c>
      <c r="U105" s="9">
        <v>1041.2540938283048</v>
      </c>
      <c r="V105" s="9">
        <v>1034.4557867299484</v>
      </c>
      <c r="W105" s="12">
        <v>1032.9469300662297</v>
      </c>
      <c r="X105" s="12">
        <v>1032.2523000925323</v>
      </c>
      <c r="Y105" s="12">
        <v>1031.6509618271691</v>
      </c>
      <c r="Z105" s="12">
        <v>1031.1208346664841</v>
      </c>
      <c r="AA105" s="12">
        <v>1030.6468505970497</v>
      </c>
      <c r="AB105" s="12">
        <v>1030.2182675501049</v>
      </c>
      <c r="AC105" s="12">
        <v>1029.8271575050876</v>
      </c>
      <c r="AD105" s="12">
        <v>1029.4675022608244</v>
      </c>
      <c r="AE105" s="12">
        <v>1029.1346254973835</v>
      </c>
      <c r="AF105" s="12">
        <v>1028.8248213931709</v>
      </c>
      <c r="AG105" s="12">
        <v>1028.5351034324128</v>
      </c>
      <c r="AH105" s="12">
        <v>1028.2630295547776</v>
      </c>
      <c r="AI105" s="12">
        <v>1028.006577395776</v>
      </c>
      <c r="AJ105" s="12">
        <v>1027.764053328892</v>
      </c>
      <c r="AK105" s="12">
        <v>1027.5340248834245</v>
      </c>
      <c r="AL105" s="12">
        <v>1027.3152696808952</v>
      </c>
      <c r="AM105" s="12">
        <v>1027.1067362704837</v>
      </c>
      <c r="AN105" s="12">
        <v>1026.9075136841623</v>
      </c>
      <c r="AO105" s="12">
        <v>1026.7168074811059</v>
      </c>
      <c r="AP105" s="12">
        <v>1026.533920689378</v>
      </c>
    </row>
    <row r="106" spans="1:42" s="9" customFormat="1">
      <c r="A106" s="11" t="s">
        <v>39</v>
      </c>
      <c r="B106" s="6" t="s">
        <v>134</v>
      </c>
      <c r="C106" s="9">
        <v>830.39022113504268</v>
      </c>
      <c r="D106" s="9">
        <v>810.16987588549875</v>
      </c>
      <c r="E106" s="9">
        <v>799.99038022241496</v>
      </c>
      <c r="F106" s="9">
        <v>1026.9912347007603</v>
      </c>
      <c r="G106" s="9">
        <v>1017.2478163208448</v>
      </c>
      <c r="H106" s="9">
        <v>998.02105754721151</v>
      </c>
      <c r="I106" s="9">
        <v>1000.8270986220118</v>
      </c>
      <c r="J106" s="9">
        <v>1011.8171105767464</v>
      </c>
      <c r="K106" s="9">
        <v>1014.6403544369572</v>
      </c>
      <c r="L106" s="9">
        <v>1058.5961652657008</v>
      </c>
      <c r="M106" s="9">
        <v>1050.5088139231782</v>
      </c>
      <c r="N106" s="9">
        <v>1050.7443016692487</v>
      </c>
      <c r="O106" s="9">
        <v>1094.1623994231782</v>
      </c>
      <c r="P106" s="9">
        <v>1097.9565278090076</v>
      </c>
      <c r="Q106" s="9">
        <v>1138.4904292026988</v>
      </c>
      <c r="R106" s="9">
        <v>1104.6320819014973</v>
      </c>
      <c r="S106" s="9">
        <v>1115.4734286948074</v>
      </c>
      <c r="T106" s="9">
        <v>1176.2038165294978</v>
      </c>
      <c r="U106" s="9">
        <v>1168.6488517164769</v>
      </c>
      <c r="V106" s="9">
        <v>1147.9818030747533</v>
      </c>
      <c r="W106" s="12">
        <v>1177.5814012811356</v>
      </c>
      <c r="X106" s="12">
        <v>1183.5049471012001</v>
      </c>
      <c r="Y106" s="12">
        <v>1188.6602355595728</v>
      </c>
      <c r="Z106" s="12">
        <v>1193.2261587764426</v>
      </c>
      <c r="AA106" s="12">
        <v>1197.3253758898561</v>
      </c>
      <c r="AB106" s="12">
        <v>1201.0456990614121</v>
      </c>
      <c r="AC106" s="12">
        <v>1204.4521809056969</v>
      </c>
      <c r="AD106" s="12">
        <v>1207.5943717590276</v>
      </c>
      <c r="AE106" s="12">
        <v>1210.5108938523422</v>
      </c>
      <c r="AF106" s="12">
        <v>1213.2324419562822</v>
      </c>
      <c r="AG106" s="12">
        <v>1215.7838188663839</v>
      </c>
      <c r="AH106" s="12">
        <v>1218.1853560987788</v>
      </c>
      <c r="AI106" s="12">
        <v>1220.4539301388816</v>
      </c>
      <c r="AJ106" s="12">
        <v>1222.6037050961993</v>
      </c>
      <c r="AK106" s="12">
        <v>1224.646685719842</v>
      </c>
      <c r="AL106" s="12">
        <v>1226.5931361152921</v>
      </c>
      <c r="AM106" s="12">
        <v>1228.4519015229957</v>
      </c>
      <c r="AN106" s="12">
        <v>1230.2306589228926</v>
      </c>
      <c r="AO106" s="12">
        <v>1231.9361145736607</v>
      </c>
      <c r="AP106" s="12">
        <v>1233.5741614352075</v>
      </c>
    </row>
    <row r="107" spans="1:42" s="9" customFormat="1">
      <c r="A107" s="11" t="s">
        <v>39</v>
      </c>
      <c r="B107" s="6" t="s">
        <v>135</v>
      </c>
      <c r="C107" s="9">
        <v>801.23399040907384</v>
      </c>
      <c r="D107" s="9">
        <v>801.92233163635103</v>
      </c>
      <c r="E107" s="9">
        <v>793.70831413635358</v>
      </c>
      <c r="F107" s="9">
        <v>1036.8353007245148</v>
      </c>
      <c r="G107" s="9">
        <v>1037.2023270381769</v>
      </c>
      <c r="H107" s="9">
        <v>1038.97768486724</v>
      </c>
      <c r="I107" s="9">
        <v>1016.6600197272505</v>
      </c>
      <c r="J107" s="9">
        <v>1034.0560531399603</v>
      </c>
      <c r="K107" s="9">
        <v>1043.5867649463321</v>
      </c>
      <c r="L107" s="9">
        <v>1084.0820323017861</v>
      </c>
      <c r="M107" s="9">
        <v>1096.5577361317958</v>
      </c>
      <c r="N107" s="9">
        <v>1106.7405320008895</v>
      </c>
      <c r="O107" s="9">
        <v>1129.5769277381371</v>
      </c>
      <c r="P107" s="9">
        <v>1100.5467595090593</v>
      </c>
      <c r="Q107" s="9">
        <v>1156.0389008299705</v>
      </c>
      <c r="R107" s="9">
        <v>1122.1132482008709</v>
      </c>
      <c r="S107" s="9">
        <v>1103.8071081367698</v>
      </c>
      <c r="T107" s="9">
        <v>1120.0804469672239</v>
      </c>
      <c r="U107" s="9">
        <v>1098.0663275972363</v>
      </c>
      <c r="V107" s="9">
        <v>1124.8377466172153</v>
      </c>
      <c r="W107" s="12">
        <v>1112.022525561619</v>
      </c>
      <c r="X107" s="12">
        <v>1111.3837018281413</v>
      </c>
      <c r="Y107" s="12">
        <v>1110.8306241831867</v>
      </c>
      <c r="Z107" s="12">
        <v>1110.3430035913725</v>
      </c>
      <c r="AA107" s="12">
        <v>1109.906993488459</v>
      </c>
      <c r="AB107" s="12">
        <v>1109.5127218693292</v>
      </c>
      <c r="AC107" s="12">
        <v>1109.1529023784092</v>
      </c>
      <c r="AD107" s="12">
        <v>1108.8220035808661</v>
      </c>
      <c r="AE107" s="12">
        <v>1108.5157271577571</v>
      </c>
      <c r="AF107" s="12">
        <v>1108.2306666716502</v>
      </c>
      <c r="AG107" s="12">
        <v>1107.9640767540636</v>
      </c>
      <c r="AH107" s="12">
        <v>1107.7137124337105</v>
      </c>
      <c r="AI107" s="12">
        <v>1107.4777144886978</v>
      </c>
      <c r="AJ107" s="12">
        <v>1107.2545258574225</v>
      </c>
      <c r="AK107" s="12">
        <v>1107.042829529089</v>
      </c>
      <c r="AL107" s="12">
        <v>1106.8415016134632</v>
      </c>
      <c r="AM107" s="12">
        <v>1106.6495753452655</v>
      </c>
      <c r="AN107" s="12">
        <v>1106.4662131018185</v>
      </c>
      <c r="AO107" s="12">
        <v>1106.2906843844148</v>
      </c>
      <c r="AP107" s="12">
        <v>1106.1223483004737</v>
      </c>
    </row>
    <row r="108" spans="1:42" s="9" customFormat="1">
      <c r="A108" s="11" t="s">
        <v>39</v>
      </c>
      <c r="B108" s="6" t="s">
        <v>136</v>
      </c>
      <c r="C108" s="9">
        <v>911.342460073692</v>
      </c>
      <c r="D108" s="9">
        <v>913.8921188612461</v>
      </c>
      <c r="E108" s="9">
        <v>800.50278079604561</v>
      </c>
      <c r="F108" s="9">
        <v>1120.4174780823034</v>
      </c>
      <c r="G108" s="9">
        <v>1130.0815253146855</v>
      </c>
      <c r="H108" s="9">
        <v>1110.6199202128744</v>
      </c>
      <c r="I108" s="9">
        <v>1094.9696671037145</v>
      </c>
      <c r="J108" s="9">
        <v>1109.04334225822</v>
      </c>
      <c r="K108" s="9">
        <v>1142.5344285342214</v>
      </c>
      <c r="L108" s="9">
        <v>1173.2822039773869</v>
      </c>
      <c r="M108" s="9">
        <v>1166.9868124087502</v>
      </c>
      <c r="N108" s="9">
        <v>1140.9450771843942</v>
      </c>
      <c r="O108" s="9">
        <v>1151.9340186393554</v>
      </c>
      <c r="P108" s="9">
        <v>1143.2316694432077</v>
      </c>
      <c r="Q108" s="9">
        <v>1180.8348220497187</v>
      </c>
      <c r="R108" s="9">
        <v>1180.5357463798805</v>
      </c>
      <c r="S108" s="9">
        <v>1149.554162279328</v>
      </c>
      <c r="T108" s="9">
        <v>1173.9918727624258</v>
      </c>
      <c r="U108" s="9">
        <v>1164.5638788055589</v>
      </c>
      <c r="V108" s="9">
        <v>1178.2135992083647</v>
      </c>
      <c r="W108" s="12">
        <v>1171.545666576274</v>
      </c>
      <c r="X108" s="12">
        <v>1172.2757769088992</v>
      </c>
      <c r="Y108" s="12">
        <v>1172.9085950203905</v>
      </c>
      <c r="Z108" s="12">
        <v>1173.4670636988151</v>
      </c>
      <c r="AA108" s="12">
        <v>1173.9668562713875</v>
      </c>
      <c r="AB108" s="12">
        <v>1174.4191570232465</v>
      </c>
      <c r="AC108" s="12">
        <v>1174.8322274179754</v>
      </c>
      <c r="AD108" s="12">
        <v>1175.212343643328</v>
      </c>
      <c r="AE108" s="12">
        <v>1175.564385943939</v>
      </c>
      <c r="AF108" s="12">
        <v>1175.892224273636</v>
      </c>
      <c r="AG108" s="12">
        <v>1176.1989793129251</v>
      </c>
      <c r="AH108" s="12">
        <v>1176.4872042701465</v>
      </c>
      <c r="AI108" s="12">
        <v>1176.7590146748705</v>
      </c>
      <c r="AJ108" s="12">
        <v>1177.0161830563927</v>
      </c>
      <c r="AK108" s="12">
        <v>1177.2602093256928</v>
      </c>
      <c r="AL108" s="12">
        <v>1177.4923739797068</v>
      </c>
      <c r="AM108" s="12">
        <v>1177.713778926033</v>
      </c>
      <c r="AN108" s="12">
        <v>1177.9253792318175</v>
      </c>
      <c r="AO108" s="12">
        <v>1178.1280081155262</v>
      </c>
      <c r="AP108" s="12">
        <v>1178.3223968372849</v>
      </c>
    </row>
    <row r="109" spans="1:42" s="9" customFormat="1">
      <c r="A109" s="11" t="s">
        <v>39</v>
      </c>
      <c r="B109" s="6" t="s">
        <v>137</v>
      </c>
      <c r="C109" s="9">
        <v>890.09361459998172</v>
      </c>
      <c r="D109" s="9">
        <v>886.17455338497871</v>
      </c>
      <c r="E109" s="9">
        <v>849.64027747498096</v>
      </c>
      <c r="F109" s="9">
        <v>944.73309265498938</v>
      </c>
      <c r="G109" s="9">
        <v>918.62342321997664</v>
      </c>
      <c r="H109" s="9">
        <v>904.55604126997434</v>
      </c>
      <c r="I109" s="9">
        <v>932.26426358998833</v>
      </c>
      <c r="J109" s="9">
        <v>906.26015625497325</v>
      </c>
      <c r="K109" s="9">
        <v>937.51495664997799</v>
      </c>
      <c r="L109" s="9">
        <v>918.20447680997108</v>
      </c>
      <c r="M109" s="9">
        <v>945.8880103849765</v>
      </c>
      <c r="N109" s="9">
        <v>919.988407609962</v>
      </c>
      <c r="O109" s="9">
        <v>915.63414657996339</v>
      </c>
      <c r="P109" s="9">
        <v>921.8943950999776</v>
      </c>
      <c r="Q109" s="9">
        <v>927.15154577496878</v>
      </c>
      <c r="R109" s="9">
        <v>948.43020710498251</v>
      </c>
      <c r="S109" s="9">
        <v>952.91304135995972</v>
      </c>
      <c r="T109" s="9">
        <v>961.12819848498282</v>
      </c>
      <c r="U109" s="9">
        <v>977.38775373495787</v>
      </c>
      <c r="V109" s="9">
        <v>948.28508660994657</v>
      </c>
      <c r="W109" s="12">
        <v>964.74763016746226</v>
      </c>
      <c r="X109" s="12">
        <v>965.40631601401924</v>
      </c>
      <c r="Y109" s="12">
        <v>965.97725914797854</v>
      </c>
      <c r="Z109" s="12">
        <v>966.48114694814615</v>
      </c>
      <c r="AA109" s="12">
        <v>966.93211266508615</v>
      </c>
      <c r="AB109" s="12">
        <v>967.34024204775869</v>
      </c>
      <c r="AC109" s="12">
        <v>967.71298540024338</v>
      </c>
      <c r="AD109" s="12">
        <v>968.05600287867537</v>
      </c>
      <c r="AE109" s="12">
        <v>968.37369585661588</v>
      </c>
      <c r="AF109" s="12">
        <v>968.6695546557919</v>
      </c>
      <c r="AG109" s="12">
        <v>968.9463939046658</v>
      </c>
      <c r="AH109" s="12">
        <v>969.20651647254363</v>
      </c>
      <c r="AI109" s="12">
        <v>969.45183051021866</v>
      </c>
      <c r="AJ109" s="12">
        <v>969.6839348279982</v>
      </c>
      <c r="AK109" s="12">
        <v>969.90418236536368</v>
      </c>
      <c r="AL109" s="12">
        <v>970.11372817102415</v>
      </c>
      <c r="AM109" s="12">
        <v>970.31356621973714</v>
      </c>
      <c r="AN109" s="12">
        <v>970.50455804486739</v>
      </c>
      <c r="AO109" s="12">
        <v>970.68745527749877</v>
      </c>
      <c r="AP109" s="12">
        <v>970.86291758507889</v>
      </c>
    </row>
    <row r="110" spans="1:42" s="9" customFormat="1">
      <c r="A110" s="11" t="s">
        <v>39</v>
      </c>
      <c r="B110" s="6" t="s">
        <v>138</v>
      </c>
      <c r="G110" s="9">
        <v>954.35048752736918</v>
      </c>
      <c r="H110" s="9">
        <v>968.9394102607788</v>
      </c>
      <c r="I110" s="9">
        <v>945.51328937739129</v>
      </c>
      <c r="J110" s="9">
        <v>966.27877195683482</v>
      </c>
      <c r="K110" s="9">
        <v>974.80629418779881</v>
      </c>
      <c r="L110" s="9">
        <v>554.70943834370848</v>
      </c>
      <c r="M110" s="9">
        <v>586.64849221067072</v>
      </c>
      <c r="N110" s="9">
        <v>533.98967045124027</v>
      </c>
      <c r="O110" s="9">
        <v>467.85733913876624</v>
      </c>
      <c r="P110" s="9">
        <v>434.12479428510596</v>
      </c>
      <c r="Q110" s="9">
        <v>385.13827989665242</v>
      </c>
      <c r="R110" s="9">
        <v>345.70710845207174</v>
      </c>
      <c r="S110" s="9">
        <v>317.99189365074807</v>
      </c>
      <c r="T110" s="9">
        <v>305.88523492824777</v>
      </c>
      <c r="U110" s="9">
        <v>282.02785651967946</v>
      </c>
      <c r="V110" s="9">
        <v>281.38268227601964</v>
      </c>
      <c r="W110" s="12">
        <v>280.46969281125763</v>
      </c>
      <c r="X110" s="12">
        <v>280.33733265718331</v>
      </c>
      <c r="Y110" s="12">
        <v>280.22272756743354</v>
      </c>
      <c r="Z110" s="12">
        <v>280.12167760397995</v>
      </c>
      <c r="AA110" s="12">
        <v>280.03131620890025</v>
      </c>
      <c r="AB110" s="12">
        <v>279.94959949492363</v>
      </c>
      <c r="AC110" s="12">
        <v>279.87501880203791</v>
      </c>
      <c r="AD110" s="12">
        <v>279.80642876103269</v>
      </c>
      <c r="AE110" s="12">
        <v>279.7429392884232</v>
      </c>
      <c r="AF110" s="12">
        <v>279.68384495245942</v>
      </c>
      <c r="AG110" s="12">
        <v>279.6285771934422</v>
      </c>
      <c r="AH110" s="12">
        <v>279.57667106201666</v>
      </c>
      <c r="AI110" s="12">
        <v>279.52774148410754</v>
      </c>
      <c r="AJ110" s="12">
        <v>279.48146595507762</v>
      </c>
      <c r="AK110" s="12">
        <v>279.43757168039929</v>
      </c>
      <c r="AL110" s="12">
        <v>279.39582585871494</v>
      </c>
      <c r="AM110" s="12">
        <v>279.35602822865798</v>
      </c>
      <c r="AN110" s="12">
        <v>279.31800527468698</v>
      </c>
      <c r="AO110" s="12">
        <v>279.28160566765166</v>
      </c>
      <c r="AP110" s="12">
        <v>279.24669663723296</v>
      </c>
    </row>
    <row r="111" spans="1:42" s="9" customFormat="1">
      <c r="A111" s="11" t="s">
        <v>39</v>
      </c>
      <c r="B111" s="6" t="s">
        <v>139</v>
      </c>
      <c r="C111" s="9">
        <v>1175.9852222999928</v>
      </c>
      <c r="D111" s="9">
        <v>819.65404398316741</v>
      </c>
      <c r="E111" s="9">
        <v>932.21522019807196</v>
      </c>
      <c r="F111" s="9">
        <v>1155.3962960880428</v>
      </c>
      <c r="G111" s="9">
        <v>1107.7512531870873</v>
      </c>
      <c r="H111" s="9">
        <v>1071.5721148995174</v>
      </c>
      <c r="I111" s="9">
        <v>1122.7155353390458</v>
      </c>
      <c r="J111" s="9">
        <v>1104.1927038752401</v>
      </c>
      <c r="K111" s="9">
        <v>1110.4999626479093</v>
      </c>
      <c r="L111" s="9">
        <v>1117.8475862367138</v>
      </c>
      <c r="M111" s="9">
        <v>1145.677585594666</v>
      </c>
      <c r="N111" s="9">
        <v>1122.0233580288534</v>
      </c>
      <c r="O111" s="9">
        <v>1115.2075912587586</v>
      </c>
      <c r="P111" s="9">
        <v>1106.1211786671336</v>
      </c>
      <c r="Q111" s="9">
        <v>1126.214208010123</v>
      </c>
      <c r="R111" s="9">
        <v>1123.8243757748478</v>
      </c>
      <c r="S111" s="9">
        <v>1134.0775469482653</v>
      </c>
      <c r="T111" s="9">
        <v>1140.8524762117006</v>
      </c>
      <c r="U111" s="9">
        <v>1154.8615386711829</v>
      </c>
      <c r="V111" s="9">
        <v>1138.8176584902958</v>
      </c>
      <c r="W111" s="12">
        <v>1160.2481952131297</v>
      </c>
      <c r="X111" s="12">
        <v>1160.284407496833</v>
      </c>
      <c r="Y111" s="12">
        <v>1160.3157769173495</v>
      </c>
      <c r="Z111" s="12">
        <v>1160.3434474111868</v>
      </c>
      <c r="AA111" s="12">
        <v>1160.3682000705214</v>
      </c>
      <c r="AB111" s="12">
        <v>1160.3905920294367</v>
      </c>
      <c r="AC111" s="12">
        <v>1160.4110346636212</v>
      </c>
      <c r="AD111" s="12">
        <v>1160.4298403821472</v>
      </c>
      <c r="AE111" s="12">
        <v>1160.4472520296752</v>
      </c>
      <c r="AF111" s="12">
        <v>1160.463462120545</v>
      </c>
      <c r="AG111" s="12">
        <v>1160.4786258528527</v>
      </c>
      <c r="AH111" s="12">
        <v>1160.4928701703298</v>
      </c>
      <c r="AI111" s="12">
        <v>1160.5063002302111</v>
      </c>
      <c r="AJ111" s="12">
        <v>1160.5190041200931</v>
      </c>
      <c r="AK111" s="12">
        <v>1160.5310563635517</v>
      </c>
      <c r="AL111" s="12">
        <v>1160.5425205695803</v>
      </c>
      <c r="AM111" s="12">
        <v>1160.5534514651517</v>
      </c>
      <c r="AN111" s="12">
        <v>1160.5638964756017</v>
      </c>
      <c r="AO111" s="12">
        <v>1160.5738969684353</v>
      </c>
      <c r="AP111" s="12">
        <v>1160.5834892430646</v>
      </c>
    </row>
    <row r="112" spans="1:42" s="9" customFormat="1">
      <c r="A112" s="11" t="s">
        <v>39</v>
      </c>
      <c r="B112" s="6" t="s">
        <v>140</v>
      </c>
      <c r="C112" s="9">
        <v>807.30769680141645</v>
      </c>
      <c r="D112" s="9">
        <v>863.1972187765175</v>
      </c>
      <c r="E112" s="9">
        <v>831.50615657816081</v>
      </c>
      <c r="F112" s="9">
        <v>1087.4526200162929</v>
      </c>
      <c r="G112" s="9">
        <v>1081.5678399572253</v>
      </c>
      <c r="H112" s="9">
        <v>1074.1336380721525</v>
      </c>
      <c r="I112" s="9">
        <v>1093.0569436385053</v>
      </c>
      <c r="J112" s="9">
        <v>1092.0267933474308</v>
      </c>
      <c r="K112" s="9">
        <v>1106.6159019106508</v>
      </c>
      <c r="L112" s="9">
        <v>1088.7626977734735</v>
      </c>
      <c r="M112" s="9">
        <v>1099.8325053966416</v>
      </c>
      <c r="N112" s="9">
        <v>1123.3948743677399</v>
      </c>
      <c r="O112" s="9">
        <v>1117.3538569250361</v>
      </c>
      <c r="P112" s="9">
        <v>1141.7687974872983</v>
      </c>
      <c r="Q112" s="9">
        <v>1166.087719560089</v>
      </c>
      <c r="R112" s="9">
        <v>1154.7899657591142</v>
      </c>
      <c r="S112" s="9">
        <v>1212.171514944461</v>
      </c>
      <c r="T112" s="9">
        <v>1209.6892705512455</v>
      </c>
      <c r="U112" s="9">
        <v>1263.2388805366384</v>
      </c>
      <c r="V112" s="9">
        <v>1223.679668460243</v>
      </c>
      <c r="W112" s="12">
        <v>1255.5859566091806</v>
      </c>
      <c r="X112" s="12">
        <v>1263.6441654293362</v>
      </c>
      <c r="Y112" s="12">
        <v>1270.6662943227077</v>
      </c>
      <c r="Z112" s="12">
        <v>1276.8926343038818</v>
      </c>
      <c r="AA112" s="12">
        <v>1282.488133162673</v>
      </c>
      <c r="AB112" s="12">
        <v>1287.5709978928082</v>
      </c>
      <c r="AC112" s="12">
        <v>1292.2288779500122</v>
      </c>
      <c r="AD112" s="12">
        <v>1296.5285907801815</v>
      </c>
      <c r="AE112" s="12">
        <v>1300.522256899613</v>
      </c>
      <c r="AF112" s="12">
        <v>1304.251327595312</v>
      </c>
      <c r="AG112" s="12">
        <v>1307.7493190477173</v>
      </c>
      <c r="AH112" s="12">
        <v>1311.0437219006362</v>
      </c>
      <c r="AI112" s="12">
        <v>1314.1573680428944</v>
      </c>
      <c r="AJ112" s="12">
        <v>1317.1094299951162</v>
      </c>
      <c r="AK112" s="12">
        <v>1319.916165498222</v>
      </c>
      <c r="AL112" s="12">
        <v>1322.5914815645481</v>
      </c>
      <c r="AM112" s="12">
        <v>1325.1473681509917</v>
      </c>
      <c r="AN112" s="12">
        <v>1327.5942360611448</v>
      </c>
      <c r="AO112" s="12">
        <v>1329.9411834117179</v>
      </c>
      <c r="AP112" s="12">
        <v>1332.1962080715573</v>
      </c>
    </row>
    <row r="113" spans="1:42" s="9" customFormat="1">
      <c r="A113" s="11" t="s">
        <v>39</v>
      </c>
      <c r="B113" s="6" t="s">
        <v>141</v>
      </c>
      <c r="C113" s="9">
        <v>933.14070179589498</v>
      </c>
      <c r="D113" s="9">
        <v>928.46853448499098</v>
      </c>
      <c r="E113" s="9">
        <v>688.96248116488948</v>
      </c>
      <c r="F113" s="9">
        <v>1163.4431048850879</v>
      </c>
      <c r="G113" s="9">
        <v>1128.1974276113058</v>
      </c>
      <c r="H113" s="9">
        <v>1132.2959194330299</v>
      </c>
      <c r="I113" s="9">
        <v>1174.1509862452874</v>
      </c>
      <c r="J113" s="9">
        <v>1148.5235552498723</v>
      </c>
      <c r="K113" s="9">
        <v>1179.020650143098</v>
      </c>
      <c r="L113" s="9">
        <v>1178.1059197288268</v>
      </c>
      <c r="M113" s="9">
        <v>1202.4353400638727</v>
      </c>
      <c r="N113" s="9">
        <v>1180.8791391669945</v>
      </c>
      <c r="O113" s="9">
        <v>1168.6691620242771</v>
      </c>
      <c r="P113" s="9">
        <v>1184.922109920202</v>
      </c>
      <c r="Q113" s="9">
        <v>1205.9949206664269</v>
      </c>
      <c r="R113" s="9">
        <v>1188.1666421722007</v>
      </c>
      <c r="S113" s="9">
        <v>1220.7986662894903</v>
      </c>
      <c r="T113" s="9">
        <v>1229.1269605412963</v>
      </c>
      <c r="U113" s="9">
        <v>1260.6323671427424</v>
      </c>
      <c r="V113" s="9">
        <v>1226.8086585915125</v>
      </c>
      <c r="W113" s="12">
        <v>1250.3676783860894</v>
      </c>
      <c r="X113" s="12">
        <v>1254.6090668014956</v>
      </c>
      <c r="Y113" s="12">
        <v>1258.2947521084589</v>
      </c>
      <c r="Z113" s="12">
        <v>1261.5547432596516</v>
      </c>
      <c r="AA113" s="12">
        <v>1264.4780608364142</v>
      </c>
      <c r="AB113" s="12">
        <v>1267.1283583946226</v>
      </c>
      <c r="AC113" s="12">
        <v>1269.552740670727</v>
      </c>
      <c r="AD113" s="12">
        <v>1271.7870521375</v>
      </c>
      <c r="AE113" s="12">
        <v>1273.8592069846823</v>
      </c>
      <c r="AF113" s="12">
        <v>1275.7913715867621</v>
      </c>
      <c r="AG113" s="12">
        <v>1277.60144373919</v>
      </c>
      <c r="AH113" s="12">
        <v>1279.3040843129984</v>
      </c>
      <c r="AI113" s="12">
        <v>1280.9114546840513</v>
      </c>
      <c r="AJ113" s="12">
        <v>1282.4337552690806</v>
      </c>
      <c r="AK113" s="12">
        <v>1283.8796262911585</v>
      </c>
      <c r="AL113" s="12">
        <v>1285.2564510391001</v>
      </c>
      <c r="AM113" s="12">
        <v>1286.570588787054</v>
      </c>
      <c r="AN113" s="12">
        <v>1287.8275560976213</v>
      </c>
      <c r="AO113" s="12">
        <v>1289.0321696614367</v>
      </c>
      <c r="AP113" s="12">
        <v>1290.1886600732573</v>
      </c>
    </row>
    <row r="114" spans="1:42" s="9" customFormat="1">
      <c r="A114" s="11" t="s">
        <v>39</v>
      </c>
      <c r="B114" s="6" t="s">
        <v>142</v>
      </c>
      <c r="C114" s="9">
        <v>833.9805980254938</v>
      </c>
      <c r="D114" s="9">
        <v>814.27503150516736</v>
      </c>
      <c r="E114" s="9">
        <v>765.31786941306348</v>
      </c>
      <c r="F114" s="9">
        <v>991.8107774530622</v>
      </c>
      <c r="G114" s="9">
        <v>930.73974661401007</v>
      </c>
      <c r="H114" s="9">
        <v>950.81603062355532</v>
      </c>
      <c r="I114" s="9">
        <v>924.97569655281109</v>
      </c>
      <c r="J114" s="9">
        <v>966.32246550262437</v>
      </c>
      <c r="K114" s="9">
        <v>957.60242614491062</v>
      </c>
      <c r="L114" s="9">
        <v>893.07723094819119</v>
      </c>
      <c r="M114" s="9">
        <v>937.65445953891651</v>
      </c>
      <c r="N114" s="9">
        <v>912.70252548522456</v>
      </c>
      <c r="O114" s="9">
        <v>897.38113759579176</v>
      </c>
      <c r="P114" s="9">
        <v>908.74267235221294</v>
      </c>
      <c r="Q114" s="9">
        <v>903.04506231229993</v>
      </c>
      <c r="R114" s="9">
        <v>905.15224937305413</v>
      </c>
      <c r="S114" s="9">
        <v>874.29297705766737</v>
      </c>
      <c r="T114" s="9">
        <v>911.4843463697614</v>
      </c>
      <c r="U114" s="9">
        <v>886.90646439266357</v>
      </c>
      <c r="V114" s="9">
        <v>885.59263714733822</v>
      </c>
      <c r="W114" s="12">
        <v>888.58838386329103</v>
      </c>
      <c r="X114" s="12">
        <v>887.06944631643114</v>
      </c>
      <c r="Y114" s="12">
        <v>885.75578164503065</v>
      </c>
      <c r="Z114" s="12">
        <v>884.59866216410717</v>
      </c>
      <c r="AA114" s="12">
        <v>883.56486445805865</v>
      </c>
      <c r="AB114" s="12">
        <v>882.63072150534367</v>
      </c>
      <c r="AC114" s="12">
        <v>881.7787782018363</v>
      </c>
      <c r="AD114" s="12">
        <v>880.99579252395984</v>
      </c>
      <c r="AE114" s="12">
        <v>880.27148087659793</v>
      </c>
      <c r="AF114" s="12">
        <v>879.59769813405353</v>
      </c>
      <c r="AG114" s="12">
        <v>878.96788333925645</v>
      </c>
      <c r="AH114" s="12">
        <v>878.37667405556431</v>
      </c>
      <c r="AI114" s="12">
        <v>877.81963132443036</v>
      </c>
      <c r="AJ114" s="12">
        <v>877.29303922759357</v>
      </c>
      <c r="AK114" s="12">
        <v>876.79375602074469</v>
      </c>
      <c r="AL114" s="12">
        <v>876.31910169608591</v>
      </c>
      <c r="AM114" s="12">
        <v>875.86677177644276</v>
      </c>
      <c r="AN114" s="12">
        <v>875.43477032531246</v>
      </c>
      <c r="AO114" s="12">
        <v>875.02135725279368</v>
      </c>
      <c r="AP114" s="12">
        <v>874.62500640679616</v>
      </c>
    </row>
    <row r="115" spans="1:42" s="9" customFormat="1">
      <c r="A115" s="11" t="s">
        <v>39</v>
      </c>
      <c r="B115" s="6" t="s">
        <v>143</v>
      </c>
      <c r="C115" s="9">
        <v>784.12640733998467</v>
      </c>
      <c r="D115" s="9">
        <v>779.82628494997834</v>
      </c>
      <c r="E115" s="9">
        <v>756.24154822997957</v>
      </c>
      <c r="F115" s="9">
        <v>983.78945913996267</v>
      </c>
      <c r="G115" s="9">
        <v>969.64444993997347</v>
      </c>
      <c r="H115" s="9">
        <v>950.25161871997318</v>
      </c>
      <c r="I115" s="9">
        <v>970.87119153997685</v>
      </c>
      <c r="J115" s="9">
        <v>975.28144049996376</v>
      </c>
      <c r="K115" s="9">
        <v>985.55249341997364</v>
      </c>
      <c r="L115" s="9">
        <v>1021.3502846999766</v>
      </c>
      <c r="M115" s="9">
        <v>1026.0353687799711</v>
      </c>
      <c r="N115" s="9">
        <v>1014.8214242999527</v>
      </c>
      <c r="O115" s="9">
        <v>1030.6413818199565</v>
      </c>
      <c r="P115" s="9">
        <v>1060.6842162599512</v>
      </c>
      <c r="Q115" s="9">
        <v>1062.7801849799689</v>
      </c>
      <c r="R115" s="9">
        <v>1052.6365771599496</v>
      </c>
      <c r="S115" s="9">
        <v>1045.1660889399557</v>
      </c>
      <c r="T115" s="9">
        <v>1104.5266472999424</v>
      </c>
      <c r="U115" s="9">
        <v>1082.1638613199652</v>
      </c>
      <c r="V115" s="9">
        <v>1059.5666522799559</v>
      </c>
      <c r="W115" s="12">
        <v>1082.7266769943203</v>
      </c>
      <c r="X115" s="12">
        <v>1085.1388536518559</v>
      </c>
      <c r="Y115" s="12">
        <v>1087.2327195331823</v>
      </c>
      <c r="Z115" s="12">
        <v>1089.0829935139445</v>
      </c>
      <c r="AA115" s="12">
        <v>1090.7407880175526</v>
      </c>
      <c r="AB115" s="12">
        <v>1092.2426193486776</v>
      </c>
      <c r="AC115" s="12">
        <v>1093.6154894812075</v>
      </c>
      <c r="AD115" s="12">
        <v>1094.8799313578652</v>
      </c>
      <c r="AE115" s="12">
        <v>1096.0519250213101</v>
      </c>
      <c r="AF115" s="12">
        <v>1097.1441526310027</v>
      </c>
      <c r="AG115" s="12">
        <v>1098.1668485836178</v>
      </c>
      <c r="AH115" s="12">
        <v>1099.1283920806063</v>
      </c>
      <c r="AI115" s="12">
        <v>1100.0357304797978</v>
      </c>
      <c r="AJ115" s="12">
        <v>1100.8946883159622</v>
      </c>
      <c r="AK115" s="12">
        <v>1101.7101971628904</v>
      </c>
      <c r="AL115" s="12">
        <v>1102.486469496301</v>
      </c>
      <c r="AM115" s="12">
        <v>1103.2271321763194</v>
      </c>
      <c r="AN115" s="12">
        <v>1103.9353303098073</v>
      </c>
      <c r="AO115" s="12">
        <v>1104.6138090485924</v>
      </c>
      <c r="AP115" s="12">
        <v>1105.2649787217424</v>
      </c>
    </row>
    <row r="116" spans="1:42" s="9" customFormat="1">
      <c r="A116" s="11" t="s">
        <v>39</v>
      </c>
      <c r="B116" s="6" t="s">
        <v>144</v>
      </c>
      <c r="C116" s="9">
        <v>1016.7765429026524</v>
      </c>
      <c r="D116" s="9">
        <v>940.90027983591142</v>
      </c>
      <c r="E116" s="9">
        <v>894.97787754836122</v>
      </c>
      <c r="F116" s="9">
        <v>1146.5047267000116</v>
      </c>
      <c r="G116" s="9">
        <v>1097.0840454757854</v>
      </c>
      <c r="H116" s="9">
        <v>1077.2724761690286</v>
      </c>
      <c r="I116" s="9">
        <v>1068.9162986514971</v>
      </c>
      <c r="J116" s="9">
        <v>1089.8980305947023</v>
      </c>
      <c r="K116" s="9">
        <v>1127.3388678516919</v>
      </c>
      <c r="L116" s="9">
        <v>1109.4077153831593</v>
      </c>
      <c r="M116" s="9">
        <v>1104.6312477721294</v>
      </c>
      <c r="N116" s="9">
        <v>1078.1005497230433</v>
      </c>
      <c r="O116" s="9">
        <v>1078.2199601349546</v>
      </c>
      <c r="P116" s="9">
        <v>1083.7855054555425</v>
      </c>
      <c r="Q116" s="9">
        <v>1103.6054071437602</v>
      </c>
      <c r="R116" s="9">
        <v>1087.4798041188571</v>
      </c>
      <c r="S116" s="9">
        <v>1099.1672527636265</v>
      </c>
      <c r="T116" s="9">
        <v>1118.0865359009633</v>
      </c>
      <c r="U116" s="9">
        <v>1122.0169789515298</v>
      </c>
      <c r="V116" s="9">
        <v>1130.741427094536</v>
      </c>
      <c r="W116" s="12">
        <v>1133.1015560672208</v>
      </c>
      <c r="X116" s="12">
        <v>1136.838591475082</v>
      </c>
      <c r="Y116" s="12">
        <v>1140.0857196553907</v>
      </c>
      <c r="Z116" s="12">
        <v>1142.9575872854468</v>
      </c>
      <c r="AA116" s="12">
        <v>1145.5326898444914</v>
      </c>
      <c r="AB116" s="12">
        <v>1147.8671511058249</v>
      </c>
      <c r="AC116" s="12">
        <v>1150.0025010632089</v>
      </c>
      <c r="AD116" s="12">
        <v>1151.9703403004198</v>
      </c>
      <c r="AE116" s="12">
        <v>1153.7952767791987</v>
      </c>
      <c r="AF116" s="12">
        <v>1155.4968505078944</v>
      </c>
      <c r="AG116" s="12">
        <v>1157.0908379834289</v>
      </c>
      <c r="AH116" s="12">
        <v>1158.5901618997591</v>
      </c>
      <c r="AI116" s="12">
        <v>1160.005541382787</v>
      </c>
      <c r="AJ116" s="12">
        <v>1161.3459668310004</v>
      </c>
      <c r="AK116" s="12">
        <v>1162.6190532675234</v>
      </c>
      <c r="AL116" s="12">
        <v>1163.8313077126018</v>
      </c>
      <c r="AM116" s="12">
        <v>1164.9883345334379</v>
      </c>
      <c r="AN116" s="12">
        <v>1166.0949952822812</v>
      </c>
      <c r="AO116" s="12">
        <v>1167.1555346210987</v>
      </c>
      <c r="AP116" s="12">
        <v>1168.1736806216345</v>
      </c>
    </row>
    <row r="117" spans="1:42" s="9" customFormat="1">
      <c r="A117" s="11" t="s">
        <v>39</v>
      </c>
      <c r="B117" s="6" t="s">
        <v>145</v>
      </c>
      <c r="C117" s="9">
        <v>1020.7310209093998</v>
      </c>
      <c r="D117" s="9">
        <v>1017.3626917852179</v>
      </c>
      <c r="E117" s="9">
        <v>981.55508467521122</v>
      </c>
      <c r="F117" s="9">
        <v>1135.1746842979387</v>
      </c>
      <c r="G117" s="9">
        <v>1170.7563185047059</v>
      </c>
      <c r="H117" s="9">
        <v>1128.7882982134786</v>
      </c>
      <c r="I117" s="9">
        <v>1174.2552385902438</v>
      </c>
      <c r="J117" s="9">
        <v>1129.5173172414322</v>
      </c>
      <c r="K117" s="9">
        <v>1172.4712987512173</v>
      </c>
      <c r="L117" s="9">
        <v>1171.8283045326348</v>
      </c>
      <c r="M117" s="9">
        <v>1186.4517291010777</v>
      </c>
      <c r="N117" s="9">
        <v>1183.0207385495</v>
      </c>
      <c r="O117" s="9">
        <v>1182.7601413813006</v>
      </c>
      <c r="P117" s="9">
        <v>1209.6879829361199</v>
      </c>
      <c r="Q117" s="9">
        <v>1185.5529350939134</v>
      </c>
      <c r="R117" s="9">
        <v>1195.0464153723701</v>
      </c>
      <c r="S117" s="9">
        <v>1220.6537036471479</v>
      </c>
      <c r="T117" s="9">
        <v>1230.2966159719272</v>
      </c>
      <c r="U117" s="9">
        <v>1261.9804615400453</v>
      </c>
      <c r="V117" s="9">
        <v>1220.1388840456063</v>
      </c>
      <c r="W117" s="12">
        <v>1249.3061383667493</v>
      </c>
      <c r="X117" s="12">
        <v>1253.5624261401267</v>
      </c>
      <c r="Y117" s="12">
        <v>1257.2611096349076</v>
      </c>
      <c r="Z117" s="12">
        <v>1260.5326370469495</v>
      </c>
      <c r="AA117" s="12">
        <v>1263.4663308197767</v>
      </c>
      <c r="AB117" s="12">
        <v>1266.1260610489803</v>
      </c>
      <c r="AC117" s="12">
        <v>1268.559093175144</v>
      </c>
      <c r="AD117" s="12">
        <v>1270.8013942771336</v>
      </c>
      <c r="AE117" s="12">
        <v>1272.8809742515841</v>
      </c>
      <c r="AF117" s="12">
        <v>1274.8200756384558</v>
      </c>
      <c r="AG117" s="12">
        <v>1276.6366578554564</v>
      </c>
      <c r="AH117" s="12">
        <v>1278.3454323457881</v>
      </c>
      <c r="AI117" s="12">
        <v>1279.9586025091046</v>
      </c>
      <c r="AJ117" s="12">
        <v>1281.4864040678226</v>
      </c>
      <c r="AK117" s="12">
        <v>1282.9375071969309</v>
      </c>
      <c r="AL117" s="12">
        <v>1284.3193208174378</v>
      </c>
      <c r="AM117" s="12">
        <v>1285.6382263113512</v>
      </c>
      <c r="AN117" s="12">
        <v>1286.8997594448083</v>
      </c>
      <c r="AO117" s="12">
        <v>1288.10875369679</v>
      </c>
      <c r="AP117" s="12">
        <v>1289.2694544253259</v>
      </c>
    </row>
    <row r="118" spans="1:42" s="9" customFormat="1">
      <c r="A118" s="11" t="s">
        <v>39</v>
      </c>
      <c r="B118" s="6" t="s">
        <v>146</v>
      </c>
      <c r="C118" s="9">
        <v>850.30838179619843</v>
      </c>
      <c r="D118" s="9">
        <v>801.08474418891365</v>
      </c>
      <c r="E118" s="9">
        <v>793.80678764973948</v>
      </c>
      <c r="F118" s="9">
        <v>1071.490160564503</v>
      </c>
      <c r="G118" s="9">
        <v>1042.3303433455908</v>
      </c>
      <c r="H118" s="9">
        <v>1044.0975226981197</v>
      </c>
      <c r="I118" s="9">
        <v>1040.1278888340662</v>
      </c>
      <c r="J118" s="9">
        <v>1051.7841554976496</v>
      </c>
      <c r="K118" s="9">
        <v>1095.0262604077839</v>
      </c>
      <c r="L118" s="9">
        <v>1074.4036293801585</v>
      </c>
      <c r="M118" s="9">
        <v>1062.4967028893725</v>
      </c>
      <c r="N118" s="9">
        <v>1108.8473892833608</v>
      </c>
      <c r="O118" s="9">
        <v>1090.7656045971189</v>
      </c>
      <c r="P118" s="9">
        <v>1088.0485143271655</v>
      </c>
      <c r="Q118" s="9">
        <v>1105.1730676128591</v>
      </c>
      <c r="R118" s="9">
        <v>1100.1419435506414</v>
      </c>
      <c r="S118" s="9">
        <v>1117.5807141203179</v>
      </c>
      <c r="T118" s="9">
        <v>1150.1278825275922</v>
      </c>
      <c r="U118" s="9">
        <v>1181.6987400874743</v>
      </c>
      <c r="V118" s="9">
        <v>1200.81586818199</v>
      </c>
      <c r="W118" s="12">
        <v>1201.2241006907589</v>
      </c>
      <c r="X118" s="12">
        <v>1211.7029540639567</v>
      </c>
      <c r="Y118" s="12">
        <v>1220.8540098980166</v>
      </c>
      <c r="Z118" s="12">
        <v>1228.9831615531982</v>
      </c>
      <c r="AA118" s="12">
        <v>1236.3007910585804</v>
      </c>
      <c r="AB118" s="12">
        <v>1242.9579197006567</v>
      </c>
      <c r="AC118" s="12">
        <v>1249.0666978930574</v>
      </c>
      <c r="AD118" s="12">
        <v>1254.7127380137592</v>
      </c>
      <c r="AE118" s="12">
        <v>1259.962905164489</v>
      </c>
      <c r="AF118" s="12">
        <v>1264.8704383738</v>
      </c>
      <c r="AG118" s="12">
        <v>1269.4784311069932</v>
      </c>
      <c r="AH118" s="12">
        <v>1273.8222647706802</v>
      </c>
      <c r="AI118" s="12">
        <v>1277.9313522636457</v>
      </c>
      <c r="AJ118" s="12">
        <v>1281.8304140614773</v>
      </c>
      <c r="AK118" s="12">
        <v>1285.540429801664</v>
      </c>
      <c r="AL118" s="12">
        <v>1289.0793597450827</v>
      </c>
      <c r="AM118" s="12">
        <v>1292.4626999139821</v>
      </c>
      <c r="AN118" s="12">
        <v>1295.7039149599871</v>
      </c>
      <c r="AO118" s="12">
        <v>1298.8147797636582</v>
      </c>
      <c r="AP118" s="12">
        <v>1301.8056519586216</v>
      </c>
    </row>
    <row r="119" spans="1:42" s="15" customFormat="1">
      <c r="A119" s="13" t="s">
        <v>39</v>
      </c>
      <c r="B119" s="14" t="s">
        <v>147</v>
      </c>
      <c r="C119" s="15">
        <v>443.3596695301863</v>
      </c>
      <c r="D119" s="15">
        <v>871.77090385648648</v>
      </c>
      <c r="E119" s="15">
        <v>715.7430161940581</v>
      </c>
      <c r="F119" s="15">
        <v>1142.9129362262784</v>
      </c>
      <c r="G119" s="15">
        <v>1082.1698281421393</v>
      </c>
      <c r="H119" s="15">
        <v>1042.3119842969465</v>
      </c>
      <c r="I119" s="15">
        <v>1066.4494873854921</v>
      </c>
      <c r="J119" s="15">
        <v>1053.3817891071371</v>
      </c>
      <c r="K119" s="15">
        <v>1059.3881168897651</v>
      </c>
      <c r="L119" s="15">
        <v>1073.9150195205914</v>
      </c>
      <c r="M119" s="15">
        <v>1097.532197364354</v>
      </c>
      <c r="N119" s="15">
        <v>1075.6449507730449</v>
      </c>
      <c r="O119" s="15">
        <v>1101.9934929089168</v>
      </c>
      <c r="P119" s="15">
        <v>1093.2540229111075</v>
      </c>
      <c r="Q119" s="15">
        <v>1113.6995290968739</v>
      </c>
      <c r="R119" s="15">
        <v>1099.1105369455111</v>
      </c>
      <c r="S119" s="15">
        <v>1092.8298856297033</v>
      </c>
      <c r="T119" s="15">
        <v>1112.5521296477152</v>
      </c>
      <c r="U119" s="15">
        <v>1130.0295939895434</v>
      </c>
      <c r="V119" s="15">
        <v>1100.5935748166726</v>
      </c>
      <c r="W119" s="16">
        <v>1114.6113546978133</v>
      </c>
      <c r="X119" s="16">
        <v>1117.2738628230554</v>
      </c>
      <c r="Y119" s="16">
        <v>1119.5853725561956</v>
      </c>
      <c r="Z119" s="16">
        <v>1121.6282378107826</v>
      </c>
      <c r="AA119" s="16">
        <v>1123.4588014079823</v>
      </c>
      <c r="AB119" s="16">
        <v>1125.1173211765827</v>
      </c>
      <c r="AC119" s="16">
        <v>1126.6335689172913</v>
      </c>
      <c r="AD119" s="16">
        <v>1128.0301859908866</v>
      </c>
      <c r="AE119" s="16">
        <v>1129.3247948937446</v>
      </c>
      <c r="AF119" s="16">
        <v>1130.531382409863</v>
      </c>
      <c r="AG119" s="16">
        <v>1131.6612366043539</v>
      </c>
      <c r="AH119" s="16">
        <v>1132.7235999947493</v>
      </c>
      <c r="AI119" s="16">
        <v>1133.7261362331731</v>
      </c>
      <c r="AJ119" s="16">
        <v>1134.6752707781341</v>
      </c>
      <c r="AK119" s="16">
        <v>1135.5764443158519</v>
      </c>
      <c r="AL119" s="16">
        <v>1136.4343044541386</v>
      </c>
      <c r="AM119" s="16">
        <v>1137.2528529027038</v>
      </c>
      <c r="AN119" s="16">
        <v>1138.0355599997479</v>
      </c>
      <c r="AO119" s="16">
        <v>1138.78545491351</v>
      </c>
      <c r="AP119" s="16">
        <v>1139.5051974691548</v>
      </c>
    </row>
    <row r="120" spans="1:42">
      <c r="A120" s="11" t="s">
        <v>148</v>
      </c>
      <c r="B120" s="6" t="s">
        <v>124</v>
      </c>
      <c r="C120" s="9">
        <v>1133.7897479633011</v>
      </c>
      <c r="D120" s="9">
        <v>1136.3763269549431</v>
      </c>
      <c r="E120" s="9">
        <v>1138.1364085106313</v>
      </c>
      <c r="F120" s="9">
        <v>1116.8140717046156</v>
      </c>
      <c r="G120" s="9">
        <v>1077.7235235181026</v>
      </c>
      <c r="H120" s="9">
        <v>1073.5843775117708</v>
      </c>
      <c r="I120" s="9">
        <v>1071.928141579494</v>
      </c>
      <c r="J120" s="9">
        <v>1045.3964363312591</v>
      </c>
      <c r="K120" s="9">
        <v>1045.045897945839</v>
      </c>
      <c r="L120" s="9">
        <v>1030.1063187506199</v>
      </c>
      <c r="M120" s="9">
        <v>963.08617569452042</v>
      </c>
      <c r="N120" s="9">
        <v>968.82056002035324</v>
      </c>
      <c r="O120" s="9">
        <v>938.61071736290126</v>
      </c>
      <c r="P120" s="9">
        <v>937.30036626441836</v>
      </c>
      <c r="Q120" s="9">
        <v>901.47514850469918</v>
      </c>
      <c r="R120" s="9">
        <v>943.08195243651232</v>
      </c>
      <c r="S120" s="9">
        <v>906.10096752917639</v>
      </c>
      <c r="T120" s="9">
        <v>912.92889537047904</v>
      </c>
      <c r="U120" s="9">
        <v>903.95804363353216</v>
      </c>
      <c r="V120" s="9">
        <v>904.43804261068078</v>
      </c>
      <c r="W120" s="17">
        <v>894.84659724740902</v>
      </c>
      <c r="X120" s="17">
        <v>892.00342554928295</v>
      </c>
      <c r="Y120" s="17">
        <v>889.54786108414896</v>
      </c>
      <c r="Z120" s="17">
        <v>887.38751132148013</v>
      </c>
      <c r="AA120" s="17">
        <v>885.45945874221991</v>
      </c>
      <c r="AB120" s="17">
        <v>883.71893207207984</v>
      </c>
      <c r="AC120" s="17">
        <v>882.13294331895531</v>
      </c>
      <c r="AD120" s="17">
        <v>880.67648873846485</v>
      </c>
      <c r="AE120" s="17">
        <v>879.33016636685625</v>
      </c>
      <c r="AF120" s="17">
        <v>878.07862027560327</v>
      </c>
      <c r="AG120" s="17">
        <v>876.90948966561928</v>
      </c>
      <c r="AH120" s="17">
        <v>875.81267822268671</v>
      </c>
      <c r="AI120" s="17">
        <v>874.77983336407738</v>
      </c>
      <c r="AJ120" s="17">
        <v>873.8039669687729</v>
      </c>
      <c r="AK120" s="17">
        <v>872.87917385232572</v>
      </c>
      <c r="AL120" s="17">
        <v>872.00041924777736</v>
      </c>
      <c r="AM120" s="17">
        <v>871.16337595000539</v>
      </c>
      <c r="AN120" s="17">
        <v>870.36429782292305</v>
      </c>
      <c r="AO120" s="17">
        <v>869.59992034636559</v>
      </c>
      <c r="AP120" s="17">
        <v>868.86738155342755</v>
      </c>
    </row>
    <row r="121" spans="1:42">
      <c r="A121" s="11" t="s">
        <v>148</v>
      </c>
      <c r="B121" s="6" t="s">
        <v>149</v>
      </c>
      <c r="C121" s="9">
        <v>1007.5138365747824</v>
      </c>
      <c r="D121" s="9">
        <v>1035.8611107584998</v>
      </c>
      <c r="E121" s="9">
        <v>1042.5034186758853</v>
      </c>
      <c r="F121" s="9">
        <v>1038.1363169377391</v>
      </c>
      <c r="G121" s="9">
        <v>1021.9760098555204</v>
      </c>
      <c r="H121" s="9">
        <v>1008.6454636524134</v>
      </c>
      <c r="I121" s="9">
        <v>1018.197681236876</v>
      </c>
      <c r="J121" s="9">
        <v>982.19270311156561</v>
      </c>
      <c r="K121" s="9">
        <v>990.79939797311897</v>
      </c>
      <c r="L121" s="9">
        <v>950.30172642941704</v>
      </c>
      <c r="M121" s="9">
        <v>896.04812475837775</v>
      </c>
      <c r="N121" s="9">
        <v>892.42278155257691</v>
      </c>
      <c r="O121" s="9">
        <v>872.76393422034414</v>
      </c>
      <c r="P121" s="9">
        <v>854.20139802200902</v>
      </c>
      <c r="Q121" s="9">
        <v>838.67663507629914</v>
      </c>
      <c r="R121" s="9">
        <v>871.02418265219978</v>
      </c>
      <c r="S121" s="9">
        <v>837.45349337508878</v>
      </c>
      <c r="T121" s="9">
        <v>844.09331129786483</v>
      </c>
      <c r="U121" s="9">
        <v>846.05959584918764</v>
      </c>
      <c r="V121" s="9">
        <v>846.1984370193959</v>
      </c>
      <c r="W121" s="17">
        <v>837.2986503625757</v>
      </c>
      <c r="X121" s="17">
        <v>835.45603895229749</v>
      </c>
      <c r="Y121" s="17">
        <v>833.86317431776035</v>
      </c>
      <c r="Z121" s="17">
        <v>832.46068912055193</v>
      </c>
      <c r="AA121" s="17">
        <v>831.20812227556905</v>
      </c>
      <c r="AB121" s="17">
        <v>830.07666140222761</v>
      </c>
      <c r="AC121" s="17">
        <v>829.0450634599996</v>
      </c>
      <c r="AD121" s="17">
        <v>828.09721752089547</v>
      </c>
      <c r="AE121" s="17">
        <v>827.22061540564687</v>
      </c>
      <c r="AF121" s="17">
        <v>826.40535246591594</v>
      </c>
      <c r="AG121" s="17">
        <v>825.64345227341073</v>
      </c>
      <c r="AH121" s="17">
        <v>824.92839689014568</v>
      </c>
      <c r="AI121" s="17">
        <v>824.25479193242245</v>
      </c>
      <c r="AJ121" s="17">
        <v>823.6181225349618</v>
      </c>
      <c r="AK121" s="17">
        <v>823.01457213864035</v>
      </c>
      <c r="AL121" s="17">
        <v>822.44088564709239</v>
      </c>
      <c r="AM121" s="17">
        <v>821.89426452661269</v>
      </c>
      <c r="AN121" s="17">
        <v>821.37228530224661</v>
      </c>
      <c r="AO121" s="17">
        <v>820.87283545693822</v>
      </c>
      <c r="AP121" s="17">
        <v>820.39406245814303</v>
      </c>
    </row>
    <row r="122" spans="1:42">
      <c r="A122" s="11" t="s">
        <v>148</v>
      </c>
      <c r="B122" s="6" t="s">
        <v>150</v>
      </c>
      <c r="C122" s="9">
        <v>850.38997199086759</v>
      </c>
      <c r="D122" s="9">
        <v>848.42728137223423</v>
      </c>
      <c r="E122" s="9">
        <v>879.24899961601011</v>
      </c>
      <c r="F122" s="9">
        <v>853.57571619962266</v>
      </c>
      <c r="G122" s="9">
        <v>842.09302990767026</v>
      </c>
      <c r="H122" s="9">
        <v>854.19058193874434</v>
      </c>
      <c r="I122" s="9">
        <v>879.48656946512506</v>
      </c>
      <c r="J122" s="9">
        <v>875.9790647833297</v>
      </c>
      <c r="K122" s="9">
        <v>872.20059286347532</v>
      </c>
      <c r="L122" s="9">
        <v>828.60588282302365</v>
      </c>
      <c r="M122" s="9">
        <v>814.86346665775693</v>
      </c>
      <c r="N122" s="9">
        <v>794.36291345989082</v>
      </c>
      <c r="O122" s="9">
        <v>793.38305152494888</v>
      </c>
      <c r="P122" s="9">
        <v>794.8335454408292</v>
      </c>
      <c r="Q122" s="9">
        <v>769.52387937501499</v>
      </c>
      <c r="R122" s="9">
        <v>767.18356143156518</v>
      </c>
      <c r="S122" s="9">
        <v>750.6020001456917</v>
      </c>
      <c r="T122" s="9">
        <v>756.73485280266539</v>
      </c>
      <c r="U122" s="9">
        <v>740.52979944756476</v>
      </c>
      <c r="V122" s="9">
        <v>729.02200826717944</v>
      </c>
      <c r="W122" s="17">
        <v>731.67363289277932</v>
      </c>
      <c r="X122" s="17">
        <v>728.29204586707783</v>
      </c>
      <c r="Y122" s="17">
        <v>725.37541733533385</v>
      </c>
      <c r="Z122" s="17">
        <v>722.81246544711519</v>
      </c>
      <c r="AA122" s="17">
        <v>720.52750115996071</v>
      </c>
      <c r="AB122" s="17">
        <v>718.46672274381433</v>
      </c>
      <c r="AC122" s="17">
        <v>716.59052644270434</v>
      </c>
      <c r="AD122" s="17">
        <v>714.86892005493894</v>
      </c>
      <c r="AE122" s="17">
        <v>713.27864923677237</v>
      </c>
      <c r="AF122" s="17">
        <v>711.80132250604174</v>
      </c>
      <c r="AG122" s="17">
        <v>710.42214562499521</v>
      </c>
      <c r="AH122" s="17">
        <v>709.12904228281832</v>
      </c>
      <c r="AI122" s="17">
        <v>707.91202777974127</v>
      </c>
      <c r="AJ122" s="17">
        <v>706.76275314819043</v>
      </c>
      <c r="AK122" s="17">
        <v>705.6741669524198</v>
      </c>
      <c r="AL122" s="17">
        <v>704.64026012151169</v>
      </c>
      <c r="AM122" s="17">
        <v>703.65587051023465</v>
      </c>
      <c r="AN122" s="17">
        <v>702.71653117031417</v>
      </c>
      <c r="AO122" s="17">
        <v>701.81835110994314</v>
      </c>
      <c r="AP122" s="17">
        <v>700.95792054159062</v>
      </c>
    </row>
    <row r="123" spans="1:42">
      <c r="A123" s="11" t="s">
        <v>148</v>
      </c>
      <c r="B123" s="6" t="s">
        <v>151</v>
      </c>
      <c r="C123" s="9">
        <v>1070.926918023099</v>
      </c>
      <c r="D123" s="9">
        <v>1103.5495648088558</v>
      </c>
      <c r="E123" s="9">
        <v>1121.5745345895427</v>
      </c>
      <c r="F123" s="9">
        <v>1090.1105317330616</v>
      </c>
      <c r="G123" s="9">
        <v>1062.3145911517927</v>
      </c>
      <c r="H123" s="9">
        <v>1063.8137985320845</v>
      </c>
      <c r="I123" s="9">
        <v>1069.3229971710646</v>
      </c>
      <c r="J123" s="9">
        <v>1028.2184821703829</v>
      </c>
      <c r="K123" s="9">
        <v>1049.1374739944433</v>
      </c>
      <c r="L123" s="9">
        <v>1002.3567855303012</v>
      </c>
      <c r="M123" s="9">
        <v>942.3827720549225</v>
      </c>
      <c r="N123" s="9">
        <v>926.90124474579306</v>
      </c>
      <c r="O123" s="9">
        <v>903.37698741493739</v>
      </c>
      <c r="P123" s="9">
        <v>891.74761893589562</v>
      </c>
      <c r="Q123" s="9">
        <v>865.78894860870116</v>
      </c>
      <c r="R123" s="9">
        <v>900.53365422505362</v>
      </c>
      <c r="S123" s="9">
        <v>859.15966583884483</v>
      </c>
      <c r="T123" s="9">
        <v>869.30637011357487</v>
      </c>
      <c r="U123" s="9">
        <v>868.22969474757235</v>
      </c>
      <c r="V123" s="9">
        <v>868.72921370158463</v>
      </c>
      <c r="W123" s="17">
        <v>858.39838674334931</v>
      </c>
      <c r="X123" s="17">
        <v>856.3176480149674</v>
      </c>
      <c r="Y123" s="17">
        <v>854.51930740493071</v>
      </c>
      <c r="Z123" s="17">
        <v>852.93619364598987</v>
      </c>
      <c r="AA123" s="17">
        <v>851.52253553853745</v>
      </c>
      <c r="AB123" s="17">
        <v>850.24574474573387</v>
      </c>
      <c r="AC123" s="17">
        <v>849.08179781200658</v>
      </c>
      <c r="AD123" s="17">
        <v>848.01247755794452</v>
      </c>
      <c r="AE123" s="17">
        <v>847.0236422894011</v>
      </c>
      <c r="AF123" s="17">
        <v>846.10409511775504</v>
      </c>
      <c r="AG123" s="17">
        <v>845.2448198896509</v>
      </c>
      <c r="AH123" s="17">
        <v>844.4384497748905</v>
      </c>
      <c r="AI123" s="17">
        <v>843.67888838588601</v>
      </c>
      <c r="AJ123" s="17">
        <v>842.96103374914117</v>
      </c>
      <c r="AK123" s="17">
        <v>842.28057335418941</v>
      </c>
      <c r="AL123" s="17">
        <v>841.63382939638495</v>
      </c>
      <c r="AM123" s="17">
        <v>841.01764015379479</v>
      </c>
      <c r="AN123" s="17">
        <v>840.42926782773407</v>
      </c>
      <c r="AO123" s="17">
        <v>839.86632606664193</v>
      </c>
      <c r="AP123" s="17">
        <v>839.32672233647179</v>
      </c>
    </row>
    <row r="124" spans="1:42">
      <c r="A124" s="11" t="s">
        <v>148</v>
      </c>
      <c r="B124" s="6" t="s">
        <v>152</v>
      </c>
      <c r="C124" s="9">
        <v>1179.9925519081717</v>
      </c>
      <c r="D124" s="9">
        <v>1180.0925662398538</v>
      </c>
      <c r="E124" s="9">
        <v>1136.1397593618299</v>
      </c>
      <c r="F124" s="9">
        <v>1082.7235697614303</v>
      </c>
      <c r="G124" s="9">
        <v>1082.8591088038065</v>
      </c>
      <c r="H124" s="9">
        <v>1033.9622929465977</v>
      </c>
      <c r="I124" s="9">
        <v>1050.9147238715891</v>
      </c>
      <c r="J124" s="9">
        <v>1010.8237605971558</v>
      </c>
      <c r="K124" s="9">
        <v>1004.2733655396643</v>
      </c>
      <c r="L124" s="9">
        <v>982.26569555507285</v>
      </c>
      <c r="M124" s="9">
        <v>929.99933173156762</v>
      </c>
      <c r="N124" s="9">
        <v>936.17705440182908</v>
      </c>
      <c r="O124" s="9">
        <v>907.18068542982246</v>
      </c>
      <c r="P124" s="9">
        <v>885.99350420450025</v>
      </c>
      <c r="Q124" s="9">
        <v>877.9501367770041</v>
      </c>
      <c r="R124" s="9">
        <v>919.92263016982588</v>
      </c>
      <c r="S124" s="9">
        <v>882.69436605447447</v>
      </c>
      <c r="T124" s="9">
        <v>892.3787168353756</v>
      </c>
      <c r="U124" s="9">
        <v>889.15454487728528</v>
      </c>
      <c r="V124" s="9">
        <v>888.90719169375018</v>
      </c>
      <c r="W124" s="17">
        <v>880.60043863262456</v>
      </c>
      <c r="X124" s="17">
        <v>878.4017280067269</v>
      </c>
      <c r="Y124" s="17">
        <v>876.5015561651004</v>
      </c>
      <c r="Z124" s="17">
        <v>874.82889800450005</v>
      </c>
      <c r="AA124" s="17">
        <v>873.33535923359875</v>
      </c>
      <c r="AB124" s="17">
        <v>871.9864857740738</v>
      </c>
      <c r="AC124" s="17">
        <v>870.75688000995751</v>
      </c>
      <c r="AD124" s="17">
        <v>869.62728356736557</v>
      </c>
      <c r="AE124" s="17">
        <v>868.5827470880796</v>
      </c>
      <c r="AF124" s="17">
        <v>867.61143464003271</v>
      </c>
      <c r="AG124" s="17">
        <v>866.70381581379274</v>
      </c>
      <c r="AH124" s="17">
        <v>865.8521038438322</v>
      </c>
      <c r="AI124" s="17">
        <v>865.04985501914541</v>
      </c>
      <c r="AJ124" s="17">
        <v>864.29167684783283</v>
      </c>
      <c r="AK124" s="17">
        <v>863.57301137557033</v>
      </c>
      <c r="AL124" s="17">
        <v>862.88997157516815</v>
      </c>
      <c r="AM124" s="17">
        <v>862.23921594052842</v>
      </c>
      <c r="AN124" s="17">
        <v>861.61785105979141</v>
      </c>
      <c r="AO124" s="17">
        <v>861.02335499857077</v>
      </c>
      <c r="AP124" s="17">
        <v>860.45351637922647</v>
      </c>
    </row>
    <row r="125" spans="1:42">
      <c r="A125" s="11" t="s">
        <v>148</v>
      </c>
      <c r="B125" s="6" t="s">
        <v>153</v>
      </c>
      <c r="C125" s="9">
        <v>1056.6639462372229</v>
      </c>
      <c r="D125" s="9">
        <v>1064.338255583724</v>
      </c>
      <c r="E125" s="9">
        <v>1061.9532681857966</v>
      </c>
      <c r="F125" s="9">
        <v>1039.1716148769913</v>
      </c>
      <c r="G125" s="9">
        <v>1041.4829088828842</v>
      </c>
      <c r="H125" s="9">
        <v>1009.2954447418167</v>
      </c>
      <c r="I125" s="9">
        <v>1018.1233554352345</v>
      </c>
      <c r="J125" s="9">
        <v>981.98971568145123</v>
      </c>
      <c r="K125" s="9">
        <v>978.16651423256349</v>
      </c>
      <c r="L125" s="9">
        <v>944.36711307587552</v>
      </c>
      <c r="M125" s="9">
        <v>899.41658130291705</v>
      </c>
      <c r="N125" s="9">
        <v>893.91162495061121</v>
      </c>
      <c r="O125" s="9">
        <v>876.9488546591092</v>
      </c>
      <c r="P125" s="9">
        <v>853.14876779589349</v>
      </c>
      <c r="Q125" s="9">
        <v>842.51979375812152</v>
      </c>
      <c r="R125" s="9">
        <v>869.18893776388938</v>
      </c>
      <c r="S125" s="9">
        <v>838.99493402331416</v>
      </c>
      <c r="T125" s="9">
        <v>850.35159132607953</v>
      </c>
      <c r="U125" s="9">
        <v>841.74620792202109</v>
      </c>
      <c r="V125" s="9">
        <v>845.29912552275823</v>
      </c>
      <c r="W125" s="17">
        <v>837.12119338162393</v>
      </c>
      <c r="X125" s="17">
        <v>835.2627745655202</v>
      </c>
      <c r="Y125" s="17">
        <v>833.65627412634944</v>
      </c>
      <c r="Z125" s="17">
        <v>832.24180523886969</v>
      </c>
      <c r="AA125" s="17">
        <v>830.97855342915784</v>
      </c>
      <c r="AB125" s="17">
        <v>829.83745508388699</v>
      </c>
      <c r="AC125" s="17">
        <v>828.79708220615328</v>
      </c>
      <c r="AD125" s="17">
        <v>827.84118378400433</v>
      </c>
      <c r="AE125" s="17">
        <v>826.95714301397754</v>
      </c>
      <c r="AF125" s="17">
        <v>826.13496933101021</v>
      </c>
      <c r="AG125" s="17">
        <v>825.36661718919322</v>
      </c>
      <c r="AH125" s="17">
        <v>824.64551222667706</v>
      </c>
      <c r="AI125" s="17">
        <v>823.96621340526929</v>
      </c>
      <c r="AJ125" s="17">
        <v>823.32416684581665</v>
      </c>
      <c r="AK125" s="17">
        <v>822.71552303658848</v>
      </c>
      <c r="AL125" s="17">
        <v>822.13699879819342</v>
      </c>
      <c r="AM125" s="17">
        <v>821.58577147068877</v>
      </c>
      <c r="AN125" s="17">
        <v>821.05939670097837</v>
      </c>
      <c r="AO125" s="17">
        <v>820.55574378498534</v>
      </c>
      <c r="AP125" s="17">
        <v>820.07294425165151</v>
      </c>
    </row>
    <row r="126" spans="1:42">
      <c r="A126" s="11" t="s">
        <v>148</v>
      </c>
      <c r="B126" s="6" t="s">
        <v>154</v>
      </c>
      <c r="C126" s="9">
        <v>1115.5448611437148</v>
      </c>
      <c r="D126" s="9">
        <v>1114.6345227907284</v>
      </c>
      <c r="E126" s="9">
        <v>1116.6613383603419</v>
      </c>
      <c r="F126" s="9">
        <v>1079.4647269162122</v>
      </c>
      <c r="G126" s="9">
        <v>1067.0571663784638</v>
      </c>
      <c r="H126" s="9">
        <v>1058.2569200235496</v>
      </c>
      <c r="I126" s="9">
        <v>1054.1306912849145</v>
      </c>
      <c r="J126" s="9">
        <v>1033.6030886428173</v>
      </c>
      <c r="K126" s="9">
        <v>1043.2833035092187</v>
      </c>
      <c r="L126" s="9">
        <v>1022.6002562154243</v>
      </c>
      <c r="M126" s="9">
        <v>959.19211101558778</v>
      </c>
      <c r="N126" s="9">
        <v>959.6428587094498</v>
      </c>
      <c r="O126" s="9">
        <v>935.72418876262827</v>
      </c>
      <c r="P126" s="9">
        <v>931.22449722554597</v>
      </c>
      <c r="Q126" s="9">
        <v>902.15343527132677</v>
      </c>
      <c r="R126" s="9">
        <v>935.56395196207029</v>
      </c>
      <c r="S126" s="9">
        <v>894.50150866094145</v>
      </c>
      <c r="T126" s="9">
        <v>908.86974413963264</v>
      </c>
      <c r="U126" s="9">
        <v>894.57549899939852</v>
      </c>
      <c r="V126" s="9">
        <v>898.36867547561633</v>
      </c>
      <c r="W126" s="17">
        <v>887.80280871134858</v>
      </c>
      <c r="X126" s="17">
        <v>884.81373293845274</v>
      </c>
      <c r="Y126" s="17">
        <v>882.2326134854161</v>
      </c>
      <c r="Z126" s="17">
        <v>879.96215531700659</v>
      </c>
      <c r="AA126" s="17">
        <v>877.93611292755236</v>
      </c>
      <c r="AB126" s="17">
        <v>876.1073535049004</v>
      </c>
      <c r="AC126" s="17">
        <v>874.44115341382201</v>
      </c>
      <c r="AD126" s="17">
        <v>872.91119635077598</v>
      </c>
      <c r="AE126" s="17">
        <v>871.49706398219871</v>
      </c>
      <c r="AF126" s="17">
        <v>870.18259751140681</v>
      </c>
      <c r="AG126" s="17">
        <v>868.95479102533795</v>
      </c>
      <c r="AH126" s="17">
        <v>867.80302216089956</v>
      </c>
      <c r="AI126" s="17">
        <v>866.71850382272851</v>
      </c>
      <c r="AJ126" s="17">
        <v>865.69388489523544</v>
      </c>
      <c r="AK126" s="17">
        <v>864.72295388020086</v>
      </c>
      <c r="AL126" s="17">
        <v>863.80041519282474</v>
      </c>
      <c r="AM126" s="17">
        <v>862.92171774626547</v>
      </c>
      <c r="AN126" s="17">
        <v>862.08292181859872</v>
      </c>
      <c r="AO126" s="17">
        <v>861.28059438512673</v>
      </c>
      <c r="AP126" s="17">
        <v>860.51172591497527</v>
      </c>
    </row>
    <row r="127" spans="1:42">
      <c r="A127" s="13" t="s">
        <v>148</v>
      </c>
      <c r="B127" s="14" t="s">
        <v>155</v>
      </c>
      <c r="C127" s="15">
        <v>1082.5737836668682</v>
      </c>
      <c r="D127" s="15">
        <v>1088.2929478357037</v>
      </c>
      <c r="E127" s="15">
        <v>1073.228035971292</v>
      </c>
      <c r="F127" s="15">
        <v>1033.0925825619056</v>
      </c>
      <c r="G127" s="15">
        <v>1041.9097941883604</v>
      </c>
      <c r="H127" s="15">
        <v>988.16220159710156</v>
      </c>
      <c r="I127" s="15">
        <v>1009.0828524445477</v>
      </c>
      <c r="J127" s="15">
        <v>967.87462897320847</v>
      </c>
      <c r="K127" s="15">
        <v>960.73657101037111</v>
      </c>
      <c r="L127" s="15">
        <v>936.96497945557041</v>
      </c>
      <c r="M127" s="15">
        <v>888.91729525421101</v>
      </c>
      <c r="N127" s="15">
        <v>892.91829683498634</v>
      </c>
      <c r="O127" s="15">
        <v>867.80836569745395</v>
      </c>
      <c r="P127" s="15">
        <v>845.0550260853355</v>
      </c>
      <c r="Q127" s="15">
        <v>837.68907686759997</v>
      </c>
      <c r="R127" s="15">
        <v>878.45027386890342</v>
      </c>
      <c r="S127" s="15">
        <v>840.86900976522872</v>
      </c>
      <c r="T127" s="15">
        <v>851.49578021181958</v>
      </c>
      <c r="U127" s="15">
        <v>848.88419064536151</v>
      </c>
      <c r="V127" s="15">
        <v>850.25387641126372</v>
      </c>
      <c r="W127" s="17">
        <v>841.39878835928846</v>
      </c>
      <c r="X127" s="17">
        <v>839.46055661049206</v>
      </c>
      <c r="Y127" s="17">
        <v>837.78519325432603</v>
      </c>
      <c r="Z127" s="17">
        <v>836.3101936327763</v>
      </c>
      <c r="AA127" s="17">
        <v>834.99296212893796</v>
      </c>
      <c r="AB127" s="17">
        <v>833.80316866812416</v>
      </c>
      <c r="AC127" s="17">
        <v>832.71845275585554</v>
      </c>
      <c r="AD127" s="17">
        <v>831.7218570238856</v>
      </c>
      <c r="AE127" s="17">
        <v>830.80021687856424</v>
      </c>
      <c r="AF127" s="17">
        <v>829.94310842989728</v>
      </c>
      <c r="AG127" s="17">
        <v>829.14213749807118</v>
      </c>
      <c r="AH127" s="17">
        <v>828.39044508799418</v>
      </c>
      <c r="AI127" s="17">
        <v>827.68235478900931</v>
      </c>
      <c r="AJ127" s="17">
        <v>827.01311587970781</v>
      </c>
      <c r="AK127" s="17">
        <v>826.37871257443408</v>
      </c>
      <c r="AL127" s="17">
        <v>825.77571998020596</v>
      </c>
      <c r="AM127" s="17">
        <v>825.20119368149665</v>
      </c>
      <c r="AN127" s="17">
        <v>824.65258395416424</v>
      </c>
      <c r="AO127" s="17">
        <v>824.12766829895429</v>
      </c>
      <c r="AP127" s="17">
        <v>823.62449779338078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Wenqing Zhang</cp:lastModifiedBy>
  <cp:revision/>
  <dcterms:created xsi:type="dcterms:W3CDTF">2015-06-05T18:17:20Z</dcterms:created>
  <dcterms:modified xsi:type="dcterms:W3CDTF">2026-03-09T21:14:46Z</dcterms:modified>
  <cp:category/>
  <cp:contentStatus/>
</cp:coreProperties>
</file>